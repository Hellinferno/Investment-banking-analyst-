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b val="1"/>
      <color rgb="00FFFFFF"/>
    </font>
    <font>
      <name val="Arial"/>
      <b val="1"/>
    </font>
    <font>
      <name val="Arial"/>
      <color rgb="00008000"/>
    </font>
    <font>
      <name val="Arial"/>
      <color rgb="000000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4" fontId="6" fillId="0" borderId="0" pivotButton="0" quotePrefix="0" xfId="0"/>
    <xf numFmtId="4" fontId="7" fillId="0" borderId="0" pivotButton="0" quotePrefix="0" xfId="0"/>
    <xf numFmtId="0" fontId="5" fillId="0" borderId="1" pivotButton="0" quotePrefix="0" xfId="0"/>
    <xf numFmtId="4" fontId="7" fillId="0" borderId="1" pivotButton="0" quotePrefix="0" xfId="0"/>
    <xf numFmtId="164" fontId="7" fillId="0" borderId="0" pivotButton="0" quotePrefix="0" xfId="0"/>
    <xf numFmtId="0" fontId="5" fillId="0" borderId="2" pivotButton="0" quotePrefix="0" xfId="0"/>
    <xf numFmtId="164" fontId="7" fillId="0" borderId="2" pivotButton="0" quotePrefix="0" xfId="0"/>
    <xf numFmtId="3" fontId="7" fillId="0" borderId="0" pivotButton="0" quotePrefix="0" xfId="0"/>
    <xf numFmtId="165" fontId="8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Test Deal - Key Assumptions</t>
        </is>
      </c>
    </row>
    <row r="3">
      <c r="A3" t="inlineStr">
        <is>
          <t>Revenue Cagr</t>
        </is>
      </c>
      <c r="B3" s="2" t="n">
        <v>0</v>
      </c>
    </row>
    <row r="4">
      <c r="A4" t="inlineStr">
        <is>
          <t>Revenue Cagr Override</t>
        </is>
      </c>
      <c r="B4" s="3" t="n"/>
    </row>
    <row r="5">
      <c r="A5" t="inlineStr">
        <is>
          <t>Avg Ebitda Margin</t>
        </is>
      </c>
      <c r="B5" s="2" t="n">
        <v>0.12</v>
      </c>
    </row>
    <row r="6">
      <c r="A6" t="inlineStr">
        <is>
          <t>Latest Ebitda Margin</t>
        </is>
      </c>
      <c r="B6" s="2" t="n">
        <v>0.12</v>
      </c>
    </row>
    <row r="7">
      <c r="A7" t="inlineStr">
        <is>
          <t>Terminal Ebitda Margin</t>
        </is>
      </c>
      <c r="B7" s="2" t="n">
        <v>0.12</v>
      </c>
    </row>
    <row r="8">
      <c r="A8" t="inlineStr">
        <is>
          <t>Tax Rate</t>
        </is>
      </c>
      <c r="B8" s="2" t="n">
        <v>0.25</v>
      </c>
    </row>
    <row r="9">
      <c r="A9" t="inlineStr">
        <is>
          <t>Opening Tax Loss Carryforward</t>
        </is>
      </c>
      <c r="B9" s="2" t="n">
        <v>0</v>
      </c>
    </row>
    <row r="10">
      <c r="A10" t="inlineStr">
        <is>
          <t>Da Percent Rev</t>
        </is>
      </c>
      <c r="B10" s="2" t="n">
        <v>0.05</v>
      </c>
    </row>
    <row r="11">
      <c r="A11" t="inlineStr">
        <is>
          <t>Cap Ex Percent Rev</t>
        </is>
      </c>
      <c r="B11" s="2" t="n">
        <v>0.04</v>
      </c>
    </row>
    <row r="12">
      <c r="A12" t="inlineStr">
        <is>
          <t>Nwc Percent Rev</t>
        </is>
      </c>
      <c r="B12" s="2" t="n">
        <v>0.1</v>
      </c>
    </row>
    <row r="13">
      <c r="A13" t="inlineStr">
        <is>
          <t>Scenario</t>
        </is>
      </c>
      <c r="B13" s="3" t="inlineStr">
        <is>
          <t>Base Case</t>
        </is>
      </c>
    </row>
    <row r="15">
      <c r="A15" t="inlineStr">
        <is>
          <t>WACC</t>
        </is>
      </c>
      <c r="B15" s="4" t="n">
        <v>0.1246</v>
      </c>
    </row>
    <row r="16">
      <c r="A16" t="inlineStr">
        <is>
          <t>Terminal Growth Rate</t>
        </is>
      </c>
      <c r="B16" s="4" t="n">
        <v>0.025</v>
      </c>
    </row>
    <row r="18">
      <c r="A18" s="5" t="inlineStr">
        <is>
          <t>WACC Calculation Breakdown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Test Deal - Financial Projections (INR)</t>
        </is>
      </c>
    </row>
    <row r="3">
      <c r="A3" s="6" t="inlineStr">
        <is>
          <t>Metric</t>
        </is>
      </c>
      <c r="B3" s="6" t="inlineStr">
        <is>
          <t>FY2023A</t>
        </is>
      </c>
      <c r="C3" s="6" t="inlineStr">
        <is>
          <t>FY2024A</t>
        </is>
      </c>
      <c r="D3" s="6" t="inlineStr">
        <is>
          <t>FY2025A</t>
        </is>
      </c>
      <c r="E3" s="6" t="inlineStr">
        <is>
          <t>FY2026E</t>
        </is>
      </c>
      <c r="F3" s="6" t="inlineStr">
        <is>
          <t>FY2027E</t>
        </is>
      </c>
      <c r="G3" s="6" t="inlineStr">
        <is>
          <t>FY2028E</t>
        </is>
      </c>
      <c r="H3" s="6" t="inlineStr">
        <is>
          <t>FY2029E</t>
        </is>
      </c>
      <c r="I3" s="6" t="inlineStr">
        <is>
          <t>FY2030E</t>
        </is>
      </c>
      <c r="J3" s="6" t="inlineStr">
        <is>
          <t>FY2031E</t>
        </is>
      </c>
      <c r="K3" s="6" t="inlineStr">
        <is>
          <t>FY2032E</t>
        </is>
      </c>
    </row>
    <row r="4">
      <c r="A4" s="7" t="inlineStr">
        <is>
          <t>Revenue</t>
        </is>
      </c>
      <c r="B4" s="8" t="n">
        <v>250000000000</v>
      </c>
      <c r="C4" s="8" t="n">
        <v>250000000000</v>
      </c>
      <c r="D4" s="8" t="n">
        <v>250000000000</v>
      </c>
      <c r="E4" s="9" t="n">
        <v>250000000000</v>
      </c>
      <c r="F4" s="9" t="n">
        <v>250892857142.86</v>
      </c>
      <c r="G4" s="9" t="n">
        <v>252684948979.59</v>
      </c>
      <c r="H4" s="9" t="n">
        <v>255392287718.66</v>
      </c>
      <c r="I4" s="9" t="n">
        <v>259040748971.78</v>
      </c>
      <c r="J4" s="9" t="n">
        <v>263666476631.99</v>
      </c>
      <c r="K4" s="9" t="n">
        <v>269316472559.82</v>
      </c>
    </row>
    <row r="5">
      <c r="A5" s="7" t="inlineStr">
        <is>
          <t xml:space="preserve">  Revenue Growth %</t>
        </is>
      </c>
      <c r="B5" s="8" t="n"/>
      <c r="C5" s="8" t="n">
        <v>0</v>
      </c>
      <c r="D5" s="8" t="n">
        <v>0</v>
      </c>
      <c r="E5" s="9" t="n">
        <v>0</v>
      </c>
      <c r="F5" s="9" t="n">
        <v>0.36</v>
      </c>
      <c r="G5" s="9" t="n">
        <v>0.71</v>
      </c>
      <c r="H5" s="9" t="n">
        <v>1.07</v>
      </c>
      <c r="I5" s="9" t="n">
        <v>1.43</v>
      </c>
      <c r="J5" s="9" t="n">
        <v>1.79</v>
      </c>
      <c r="K5" s="9" t="n">
        <v>2.14</v>
      </c>
    </row>
    <row r="6">
      <c r="A6" s="7" t="inlineStr">
        <is>
          <t>EBITDA</t>
        </is>
      </c>
      <c r="B6" s="8" t="n">
        <v>30000000000</v>
      </c>
      <c r="C6" s="8" t="n">
        <v>30000000000</v>
      </c>
      <c r="D6" s="8" t="n">
        <v>30000000000</v>
      </c>
      <c r="E6" s="9" t="n">
        <v>30000000000</v>
      </c>
      <c r="F6" s="9" t="n">
        <v>30107142857.14</v>
      </c>
      <c r="G6" s="9" t="n">
        <v>30322193877.55</v>
      </c>
      <c r="H6" s="9" t="n">
        <v>30647074526.24</v>
      </c>
      <c r="I6" s="9" t="n">
        <v>31084889876.61</v>
      </c>
      <c r="J6" s="9" t="n">
        <v>31639977195.84</v>
      </c>
      <c r="K6" s="9" t="n">
        <v>32317976707.18</v>
      </c>
    </row>
    <row r="7">
      <c r="A7" s="7" t="inlineStr">
        <is>
          <t xml:space="preserve">  EBITDA Margin %</t>
        </is>
      </c>
      <c r="B7" s="8" t="n">
        <v>12</v>
      </c>
      <c r="C7" s="8" t="n">
        <v>12</v>
      </c>
      <c r="D7" s="8" t="n">
        <v>12</v>
      </c>
      <c r="E7" s="9" t="n">
        <v>12</v>
      </c>
      <c r="F7" s="9" t="n">
        <v>12</v>
      </c>
      <c r="G7" s="9" t="n">
        <v>12</v>
      </c>
      <c r="H7" s="9" t="n">
        <v>12</v>
      </c>
      <c r="I7" s="9" t="n">
        <v>12</v>
      </c>
      <c r="J7" s="9" t="n">
        <v>12</v>
      </c>
      <c r="K7" s="9" t="n">
        <v>12</v>
      </c>
    </row>
    <row r="8">
      <c r="A8" s="7" t="inlineStr">
        <is>
          <t>Less: D&amp;A</t>
        </is>
      </c>
      <c r="E8" s="9" t="n">
        <v>12500000000</v>
      </c>
      <c r="F8" s="9" t="n">
        <v>12544642857.14</v>
      </c>
      <c r="G8" s="9" t="n">
        <v>12634247448.98</v>
      </c>
      <c r="H8" s="9" t="n">
        <v>12769614385.93</v>
      </c>
      <c r="I8" s="9" t="n">
        <v>12952037448.59</v>
      </c>
      <c r="J8" s="9" t="n">
        <v>13183323831.6</v>
      </c>
      <c r="K8" s="9" t="n">
        <v>13465823627.99</v>
      </c>
    </row>
    <row r="9">
      <c r="A9" s="7" t="inlineStr">
        <is>
          <t>EBIT</t>
        </is>
      </c>
      <c r="E9" s="9" t="n">
        <v>17500000000</v>
      </c>
      <c r="F9" s="9" t="n">
        <v>17562500000</v>
      </c>
      <c r="G9" s="9" t="n">
        <v>17687946428.57</v>
      </c>
      <c r="H9" s="9" t="n">
        <v>17877460140.31</v>
      </c>
      <c r="I9" s="9" t="n">
        <v>18132852428.02</v>
      </c>
      <c r="J9" s="9" t="n">
        <v>18456653364.24</v>
      </c>
      <c r="K9" s="9" t="n">
        <v>18852153079.19</v>
      </c>
    </row>
    <row r="10">
      <c r="A10" s="7" t="inlineStr">
        <is>
          <t>Less: Taxes</t>
        </is>
      </c>
      <c r="E10" s="9" t="n">
        <v>4375000000</v>
      </c>
      <c r="F10" s="9" t="n">
        <v>4390625000</v>
      </c>
      <c r="G10" s="9" t="n">
        <v>4421986607.14</v>
      </c>
      <c r="H10" s="9" t="n">
        <v>4469365035.08</v>
      </c>
      <c r="I10" s="9" t="n">
        <v>4533213107.01</v>
      </c>
      <c r="J10" s="9" t="n">
        <v>4614163341.06</v>
      </c>
      <c r="K10" s="9" t="n">
        <v>4713038269.8</v>
      </c>
    </row>
    <row r="11">
      <c r="A11" s="7" t="inlineStr">
        <is>
          <t>EBIAT</t>
        </is>
      </c>
      <c r="E11" s="9" t="n">
        <v>13125000000</v>
      </c>
      <c r="F11" s="9" t="n">
        <v>13171875000</v>
      </c>
      <c r="G11" s="9" t="n">
        <v>13265959821.43</v>
      </c>
      <c r="H11" s="9" t="n">
        <v>13408095105.23</v>
      </c>
      <c r="I11" s="9" t="n">
        <v>13599639321.02</v>
      </c>
      <c r="J11" s="9" t="n">
        <v>13842490023.18</v>
      </c>
      <c r="K11" s="9" t="n">
        <v>14139114809.39</v>
      </c>
    </row>
    <row r="12">
      <c r="A12" s="7" t="inlineStr">
        <is>
          <t>Plus: D&amp;A</t>
        </is>
      </c>
      <c r="E12" s="9" t="n">
        <v>12500000000</v>
      </c>
      <c r="F12" s="9" t="n">
        <v>12544642857.14</v>
      </c>
      <c r="G12" s="9" t="n">
        <v>12634247448.98</v>
      </c>
      <c r="H12" s="9" t="n">
        <v>12769614385.93</v>
      </c>
      <c r="I12" s="9" t="n">
        <v>12952037448.59</v>
      </c>
      <c r="J12" s="9" t="n">
        <v>13183323831.6</v>
      </c>
      <c r="K12" s="9" t="n">
        <v>13465823627.99</v>
      </c>
    </row>
    <row r="13">
      <c r="A13" s="7" t="inlineStr">
        <is>
          <t>Less: CapEx</t>
        </is>
      </c>
      <c r="E13" s="9" t="n">
        <v>10000000000</v>
      </c>
      <c r="F13" s="9" t="n">
        <v>10035714285.71</v>
      </c>
      <c r="G13" s="9" t="n">
        <v>10107397959.18</v>
      </c>
      <c r="H13" s="9" t="n">
        <v>10215691508.75</v>
      </c>
      <c r="I13" s="9" t="n">
        <v>10361629958.87</v>
      </c>
      <c r="J13" s="9" t="n">
        <v>10546659065.28</v>
      </c>
      <c r="K13" s="9" t="n">
        <v>10772658902.39</v>
      </c>
    </row>
    <row r="14">
      <c r="A14" s="7" t="inlineStr">
        <is>
          <t>Less: Change in NWC</t>
        </is>
      </c>
      <c r="E14" s="9" t="n">
        <v>5821917808.22</v>
      </c>
      <c r="F14" s="9" t="n">
        <v>110078277.89</v>
      </c>
      <c r="G14" s="9" t="n">
        <v>220942829.19</v>
      </c>
      <c r="H14" s="9" t="n">
        <v>333781488.38</v>
      </c>
      <c r="I14" s="9" t="n">
        <v>449810291.48</v>
      </c>
      <c r="J14" s="9" t="n">
        <v>570295190.98</v>
      </c>
      <c r="K14" s="9" t="n">
        <v>696574840.42</v>
      </c>
    </row>
    <row r="15">
      <c r="A15" s="10" t="inlineStr">
        <is>
          <t>Unlevered Free Cash Flow</t>
        </is>
      </c>
      <c r="E15" s="11" t="n">
        <v>9803082191.780001</v>
      </c>
      <c r="F15" s="11" t="n">
        <v>15570725293.54</v>
      </c>
      <c r="G15" s="11" t="n">
        <v>15571866482.04</v>
      </c>
      <c r="H15" s="11" t="n">
        <v>15628236494.04</v>
      </c>
      <c r="I15" s="11" t="n">
        <v>15740236519.26</v>
      </c>
      <c r="J15" s="11" t="n">
        <v>15908859598.51</v>
      </c>
      <c r="K15" s="11" t="n">
        <v>16135704694.57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Test Deal - DCF Valuation (INR)</t>
        </is>
      </c>
    </row>
    <row r="3">
      <c r="A3" s="6" t="inlineStr">
        <is>
          <t>Metric</t>
        </is>
      </c>
      <c r="B3" s="6" t="inlineStr">
        <is>
          <t>FY2026E</t>
        </is>
      </c>
      <c r="C3" s="6" t="inlineStr">
        <is>
          <t>FY2027E</t>
        </is>
      </c>
      <c r="D3" s="6" t="inlineStr">
        <is>
          <t>FY2028E</t>
        </is>
      </c>
      <c r="E3" s="6" t="inlineStr">
        <is>
          <t>FY2029E</t>
        </is>
      </c>
      <c r="F3" s="6" t="inlineStr">
        <is>
          <t>FY2030E</t>
        </is>
      </c>
      <c r="G3" s="6" t="inlineStr">
        <is>
          <t>FY2031E</t>
        </is>
      </c>
      <c r="H3" s="6" t="inlineStr">
        <is>
          <t>FY2032E</t>
        </is>
      </c>
    </row>
    <row r="4">
      <c r="A4" s="7" t="inlineStr">
        <is>
          <t>Unlevered Free Cash Flow</t>
        </is>
      </c>
      <c r="B4" s="9" t="n">
        <v>9803082191.780001</v>
      </c>
      <c r="C4" s="9" t="n">
        <v>15570725293.54</v>
      </c>
      <c r="D4" s="9" t="n">
        <v>15571866482.04</v>
      </c>
      <c r="E4" s="9" t="n">
        <v>15628236494.04</v>
      </c>
      <c r="F4" s="9" t="n">
        <v>15740236519.26</v>
      </c>
      <c r="G4" s="9" t="n">
        <v>15908859598.51</v>
      </c>
      <c r="H4" s="9" t="n">
        <v>16135704694.57</v>
      </c>
    </row>
    <row r="5">
      <c r="A5" s="7" t="inlineStr">
        <is>
          <t>Discount Factor</t>
        </is>
      </c>
    </row>
    <row r="6">
      <c r="A6" s="7" t="inlineStr">
        <is>
          <t>PV of Free Cash Flow</t>
        </is>
      </c>
    </row>
    <row r="9">
      <c r="A9" s="7" t="inlineStr">
        <is>
          <t>Sum of PV of FCFs</t>
        </is>
      </c>
      <c r="B9" s="12" t="n">
        <v>0</v>
      </c>
    </row>
    <row r="10">
      <c r="A10" s="7" t="inlineStr">
        <is>
          <t>PV of Terminal Value</t>
        </is>
      </c>
      <c r="B10" s="12" t="n">
        <v>0</v>
      </c>
    </row>
    <row r="11">
      <c r="A11" s="13" t="inlineStr">
        <is>
          <t>Implied Enterprise Value</t>
        </is>
      </c>
      <c r="B11" s="14" t="n">
        <v>100000000000</v>
      </c>
    </row>
    <row r="12">
      <c r="A12" s="7" t="inlineStr">
        <is>
          <t>Less: Total Borrowings</t>
        </is>
      </c>
      <c r="B12" s="12" t="n">
        <v>0</v>
      </c>
    </row>
    <row r="13">
      <c r="A13" s="7" t="inlineStr">
        <is>
          <t>Less: Lease Liabilities</t>
        </is>
      </c>
      <c r="B13" s="15" t="n">
        <v>0</v>
      </c>
    </row>
    <row r="14">
      <c r="A14" s="7" t="inlineStr">
        <is>
          <t>Less: CCPS Liability</t>
        </is>
      </c>
      <c r="B14" s="15" t="n">
        <v>0</v>
      </c>
    </row>
    <row r="15">
      <c r="A15" s="7" t="inlineStr">
        <is>
          <t>Add: Cash &amp; Equivalents</t>
        </is>
      </c>
      <c r="B15" s="12" t="n">
        <v>0</v>
      </c>
    </row>
    <row r="16">
      <c r="A16" s="7" t="inlineStr">
        <is>
          <t>Net Debt</t>
        </is>
      </c>
      <c r="B16" s="12" t="n">
        <v>0</v>
      </c>
    </row>
    <row r="17">
      <c r="A17" s="13" t="inlineStr">
        <is>
          <t>Implied Equity Value</t>
        </is>
      </c>
      <c r="B17" s="14" t="n">
        <v>100000000000</v>
      </c>
    </row>
    <row r="18">
      <c r="A18" s="7" t="inlineStr">
        <is>
          <t>Shares Outstanding</t>
        </is>
      </c>
      <c r="B18" s="15" t="n"/>
    </row>
    <row r="19">
      <c r="A19" s="13" t="inlineStr">
        <is>
          <t>Implied Share Price</t>
        </is>
      </c>
      <c r="B19" s="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Test Deal - Implied Share Price Sensitivity (INR)</t>
        </is>
      </c>
    </row>
    <row r="3">
      <c r="A3" s="7" t="inlineStr">
        <is>
          <t>Sensitivity: WACC vs. Terminal Growth Rate</t>
        </is>
      </c>
    </row>
    <row r="4">
      <c r="B4" s="12">
        <f>'Valuation'!B19</f>
        <v/>
      </c>
      <c r="C4" s="16" t="n">
        <v>0.015</v>
      </c>
      <c r="D4" s="16" t="n">
        <v>0.02</v>
      </c>
      <c r="E4" s="16" t="n">
        <v>0.025</v>
      </c>
      <c r="F4" s="16" t="n">
        <v>0.03</v>
      </c>
      <c r="G4" s="16" t="n">
        <v>0.035</v>
      </c>
    </row>
    <row r="5">
      <c r="B5" s="16" t="n">
        <v>0.1046</v>
      </c>
      <c r="C5" s="17" t="n"/>
      <c r="D5" s="17" t="n"/>
      <c r="E5" s="17" t="n"/>
      <c r="F5" s="17" t="n"/>
      <c r="G5" s="17" t="n"/>
    </row>
    <row r="6">
      <c r="B6" s="16" t="n">
        <v>0.1146</v>
      </c>
      <c r="C6" s="17" t="n"/>
      <c r="D6" s="17" t="n"/>
      <c r="E6" s="17" t="n"/>
      <c r="F6" s="17" t="n"/>
      <c r="G6" s="17" t="n"/>
    </row>
    <row r="7">
      <c r="B7" s="16" t="n">
        <v>0.1246</v>
      </c>
      <c r="C7" s="17" t="n"/>
      <c r="D7" s="17" t="n"/>
      <c r="E7" s="17" t="n"/>
      <c r="F7" s="17" t="n"/>
      <c r="G7" s="17" t="n"/>
    </row>
    <row r="8">
      <c r="B8" s="16" t="n">
        <v>0.1346</v>
      </c>
      <c r="C8" s="17" t="n"/>
      <c r="D8" s="17" t="n"/>
      <c r="E8" s="17" t="n"/>
      <c r="F8" s="17" t="n"/>
      <c r="G8" s="17" t="n"/>
    </row>
    <row r="9">
      <c r="B9" s="16" t="n">
        <v>0.1446</v>
      </c>
      <c r="C9" s="17" t="n"/>
      <c r="D9" s="17" t="n"/>
      <c r="E9" s="17" t="n"/>
      <c r="F9" s="17" t="n"/>
      <c r="G9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2026-03-12T17:34:22Z</dcterms:created>
  <dcterms:modified xmlns:dcterms="http://purl.org/dc/terms/" xmlns:xsi="http://www.w3.org/2001/XMLSchema-instance" xsi:type="dcterms:W3CDTF">2026-03-12T17:34:22Z</dcterms:modified>
</cp:coreProperties>
</file>