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₹#,##0.00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  <i val="1"/>
    </font>
    <font>
      <name val="Arial"/>
      <color rgb="000000FF"/>
    </font>
    <font>
      <name val="Arial"/>
      <b val="1"/>
      <color rgb="00FFFFFF"/>
    </font>
    <font>
      <name val="Arial"/>
      <b val="1"/>
    </font>
    <font>
      <name val="Arial"/>
      <color rgb="00008000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10" fontId="2" fillId="0" borderId="0" pivotButton="0" quotePrefix="0" xfId="0"/>
    <xf numFmtId="4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4" fontId="7" fillId="0" borderId="0" pivotButton="0" quotePrefix="0" xfId="0"/>
    <xf numFmtId="4" fontId="4" fillId="0" borderId="0" pivotButton="0" quotePrefix="0" xfId="0"/>
    <xf numFmtId="0" fontId="6" fillId="0" borderId="1" pivotButton="0" quotePrefix="0" xfId="0"/>
    <xf numFmtId="4" fontId="4" fillId="0" borderId="1" pivotButton="0" quotePrefix="0" xfId="0"/>
    <xf numFmtId="164" fontId="4" fillId="0" borderId="0" pivotButton="0" quotePrefix="0" xfId="0"/>
    <xf numFmtId="165" fontId="4" fillId="0" borderId="0" pivotButton="0" quotePrefix="0" xfId="0"/>
    <xf numFmtId="0" fontId="6" fillId="0" borderId="2" pivotButton="0" quotePrefix="0" xfId="0"/>
    <xf numFmtId="165" fontId="4" fillId="0" borderId="2" pivotButton="0" quotePrefix="0" xfId="0"/>
    <xf numFmtId="3" fontId="4" fillId="0" borderId="0" pivotButton="0" quotePrefix="0" xfId="0"/>
    <xf numFmtId="166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Imagine Marketing Limited P-DRHP - Key Assumptions</t>
        </is>
      </c>
    </row>
    <row r="3">
      <c r="A3" t="inlineStr">
        <is>
          <t>Revenue Cagr</t>
        </is>
      </c>
      <c r="B3" s="2" t="n">
        <v>0.19</v>
      </c>
    </row>
    <row r="4">
      <c r="A4" t="inlineStr">
        <is>
          <t>Revenue Cagr Override</t>
        </is>
      </c>
      <c r="B4" s="2" t="n">
        <v>0.19</v>
      </c>
    </row>
    <row r="5">
      <c r="A5" t="inlineStr">
        <is>
          <t>Avg Ebitda Margin</t>
        </is>
      </c>
      <c r="B5" s="2" t="n">
        <v>0.1172</v>
      </c>
    </row>
    <row r="6">
      <c r="A6" t="inlineStr">
        <is>
          <t>Latest Ebitda Margin</t>
        </is>
      </c>
      <c r="B6" s="2" t="n">
        <v>0.145</v>
      </c>
    </row>
    <row r="7">
      <c r="A7" t="inlineStr">
        <is>
          <t>Terminal Ebitda Margin</t>
        </is>
      </c>
      <c r="B7" s="2" t="n">
        <v>0.0964</v>
      </c>
    </row>
    <row r="8">
      <c r="A8" t="inlineStr">
        <is>
          <t>Tax Rate</t>
        </is>
      </c>
      <c r="B8" s="2" t="n">
        <v>0.25</v>
      </c>
    </row>
    <row r="9">
      <c r="A9" t="inlineStr">
        <is>
          <t>Opening Tax Loss Carryforward</t>
        </is>
      </c>
      <c r="B9" s="3" t="n">
        <v>875000000</v>
      </c>
    </row>
    <row r="10">
      <c r="A10" t="inlineStr">
        <is>
          <t>Da Percent Rev</t>
        </is>
      </c>
      <c r="B10" s="2" t="n">
        <v>0.055</v>
      </c>
    </row>
    <row r="11">
      <c r="A11" t="inlineStr">
        <is>
          <t>Cap Ex Percent Rev</t>
        </is>
      </c>
      <c r="B11" s="2" t="n">
        <v>0.03</v>
      </c>
    </row>
    <row r="12">
      <c r="A12" t="inlineStr">
        <is>
          <t>Nwc Percent Rev</t>
        </is>
      </c>
      <c r="B12" s="2" t="n">
        <v>0.1</v>
      </c>
    </row>
    <row r="13">
      <c r="A13" t="inlineStr">
        <is>
          <t>Scenario</t>
        </is>
      </c>
      <c r="B13" s="3" t="inlineStr">
        <is>
          <t>Base Case</t>
        </is>
      </c>
    </row>
    <row r="15">
      <c r="A15" t="inlineStr">
        <is>
          <t>WACC</t>
        </is>
      </c>
      <c r="B15" s="4" t="n">
        <v>0.1824</v>
      </c>
    </row>
    <row r="16">
      <c r="A16" t="inlineStr">
        <is>
          <t>Terminal Growth Rate</t>
        </is>
      </c>
      <c r="B16" s="4" t="n">
        <v>0.03</v>
      </c>
    </row>
    <row r="18">
      <c r="A18" s="5" t="inlineStr">
        <is>
          <t>WACC Calculation Breakdown</t>
        </is>
      </c>
    </row>
    <row r="19">
      <c r="A19" t="inlineStr">
        <is>
          <t>Risk-Free Rate</t>
        </is>
      </c>
      <c r="B19" s="6" t="n">
        <v>0.07000000000000001</v>
      </c>
    </row>
    <row r="20">
      <c r="A20" t="inlineStr">
        <is>
          <t>Equity Risk Premium</t>
        </is>
      </c>
      <c r="B20" s="6" t="n">
        <v>0.0625</v>
      </c>
    </row>
    <row r="21">
      <c r="A21" t="inlineStr">
        <is>
          <t>Size Premium</t>
        </is>
      </c>
      <c r="B21" s="6" t="n">
        <v>0.03</v>
      </c>
    </row>
    <row r="22">
      <c r="A22" t="inlineStr">
        <is>
          <t>Specific Risk Premium</t>
        </is>
      </c>
      <c r="B22" s="6" t="n">
        <v>0.04</v>
      </c>
    </row>
    <row r="23">
      <c r="A23" t="inlineStr">
        <is>
          <t>Cost of Equity (Build-Up)</t>
        </is>
      </c>
      <c r="B23" s="6" t="n">
        <v>0.2025</v>
      </c>
    </row>
    <row r="24">
      <c r="A24" t="inlineStr">
        <is>
          <t>Cost of Debt</t>
        </is>
      </c>
      <c r="B24" s="6" t="n">
        <v>0.09</v>
      </c>
    </row>
    <row r="25">
      <c r="A25" t="inlineStr">
        <is>
          <t>After-Tax Cost of Debt</t>
        </is>
      </c>
      <c r="B25" s="6" t="n">
        <v>0.0675</v>
      </c>
    </row>
    <row r="26">
      <c r="A26" t="inlineStr">
        <is>
          <t>Weight of Equity</t>
        </is>
      </c>
      <c r="B26" s="6" t="n">
        <v>0.7407</v>
      </c>
    </row>
    <row r="27">
      <c r="A27" t="inlineStr">
        <is>
          <t>Weight of Debt</t>
        </is>
      </c>
      <c r="B27" s="6" t="n">
        <v>0.2593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Imagine Marketing Limited P-DRHP - Financial Projections (INR)</t>
        </is>
      </c>
    </row>
    <row r="3">
      <c r="A3" s="7" t="inlineStr">
        <is>
          <t>Metric</t>
        </is>
      </c>
      <c r="B3" s="7" t="inlineStr">
        <is>
          <t>FY2021A</t>
        </is>
      </c>
      <c r="C3" s="7" t="inlineStr">
        <is>
          <t>FY2022A</t>
        </is>
      </c>
      <c r="D3" s="7" t="inlineStr">
        <is>
          <t>FY2023A</t>
        </is>
      </c>
      <c r="E3" s="7" t="inlineStr">
        <is>
          <t>FY2024A</t>
        </is>
      </c>
      <c r="F3" s="7" t="inlineStr">
        <is>
          <t>FY2025A</t>
        </is>
      </c>
      <c r="G3" s="7" t="inlineStr">
        <is>
          <t>FY2026E</t>
        </is>
      </c>
      <c r="H3" s="7" t="inlineStr">
        <is>
          <t>FY2027E</t>
        </is>
      </c>
      <c r="I3" s="7" t="inlineStr">
        <is>
          <t>FY2028E</t>
        </is>
      </c>
      <c r="J3" s="7" t="inlineStr">
        <is>
          <t>FY2029E</t>
        </is>
      </c>
      <c r="K3" s="7" t="inlineStr">
        <is>
          <t>FY2030E</t>
        </is>
      </c>
      <c r="L3" s="7" t="inlineStr">
        <is>
          <t>FY2031E</t>
        </is>
      </c>
      <c r="M3" s="7" t="inlineStr">
        <is>
          <t>FY2032E</t>
        </is>
      </c>
    </row>
    <row r="4">
      <c r="A4" s="8" t="inlineStr">
        <is>
          <t>Revenue</t>
        </is>
      </c>
      <c r="B4" s="9" t="n">
        <v>87500000000</v>
      </c>
      <c r="C4" s="9" t="n">
        <v>102000000000</v>
      </c>
      <c r="D4" s="9" t="n">
        <v>118000000000</v>
      </c>
      <c r="E4" s="9" t="n">
        <v>135000000000</v>
      </c>
      <c r="F4" s="9" t="n">
        <v>150050000000</v>
      </c>
      <c r="G4" s="10" t="n">
        <v>178559500000</v>
      </c>
      <c r="H4" s="10" t="n">
        <v>208404445000</v>
      </c>
      <c r="I4" s="10" t="n">
        <v>238474229207.14</v>
      </c>
      <c r="J4" s="10" t="n">
        <v>267431814182.3</v>
      </c>
      <c r="K4" s="10" t="n">
        <v>293792950151.69</v>
      </c>
      <c r="L4" s="10" t="n">
        <v>316037273520.32</v>
      </c>
      <c r="M4" s="10" t="n">
        <v>332742100834.97</v>
      </c>
    </row>
    <row r="5">
      <c r="A5" s="8" t="inlineStr">
        <is>
          <t xml:space="preserve">  Revenue Growth %</t>
        </is>
      </c>
      <c r="B5" s="9" t="n"/>
      <c r="C5" s="9" t="n">
        <v>16.57</v>
      </c>
      <c r="D5" s="9" t="n">
        <v>15.69</v>
      </c>
      <c r="E5" s="9" t="n">
        <v>14.41</v>
      </c>
      <c r="F5" s="9" t="n">
        <v>11.15</v>
      </c>
      <c r="G5" s="10" t="n">
        <v>19</v>
      </c>
      <c r="H5" s="10" t="n">
        <v>16.71</v>
      </c>
      <c r="I5" s="10" t="n">
        <v>14.43</v>
      </c>
      <c r="J5" s="10" t="n">
        <v>12.14</v>
      </c>
      <c r="K5" s="10" t="n">
        <v>9.859999999999999</v>
      </c>
      <c r="L5" s="10" t="n">
        <v>7.57</v>
      </c>
      <c r="M5" s="10" t="n">
        <v>5.29</v>
      </c>
    </row>
    <row r="6">
      <c r="A6" s="8" t="inlineStr">
        <is>
          <t>EBITDA</t>
        </is>
      </c>
      <c r="B6" s="9" t="n">
        <v>3937500000</v>
      </c>
      <c r="C6" s="9" t="n">
        <v>7344000000</v>
      </c>
      <c r="D6" s="9" t="n">
        <v>11328000000</v>
      </c>
      <c r="E6" s="9" t="n">
        <v>16740000000</v>
      </c>
      <c r="F6" s="9" t="n">
        <v>21757250000</v>
      </c>
      <c r="G6" s="10" t="n">
        <v>24651388891.5</v>
      </c>
      <c r="H6" s="10" t="n">
        <v>27324740401.73</v>
      </c>
      <c r="I6" s="10" t="n">
        <v>29611583514.88</v>
      </c>
      <c r="J6" s="10" t="n">
        <v>31350764144.78</v>
      </c>
      <c r="K6" s="10" t="n">
        <v>32401249300.43</v>
      </c>
      <c r="L6" s="10" t="n">
        <v>32660239957.41</v>
      </c>
      <c r="M6" s="10" t="n">
        <v>32076338520.49</v>
      </c>
    </row>
    <row r="7">
      <c r="A7" s="8" t="inlineStr">
        <is>
          <t xml:space="preserve">  EBITDA Margin %</t>
        </is>
      </c>
      <c r="B7" s="9" t="n">
        <v>4.5</v>
      </c>
      <c r="C7" s="9" t="n">
        <v>7.2</v>
      </c>
      <c r="D7" s="9" t="n">
        <v>9.6</v>
      </c>
      <c r="E7" s="9" t="n">
        <v>12.4</v>
      </c>
      <c r="F7" s="9" t="n">
        <v>14.5</v>
      </c>
      <c r="G7" s="10" t="n">
        <v>13.81</v>
      </c>
      <c r="H7" s="10" t="n">
        <v>13.11</v>
      </c>
      <c r="I7" s="10" t="n">
        <v>12.42</v>
      </c>
      <c r="J7" s="10" t="n">
        <v>11.72</v>
      </c>
      <c r="K7" s="10" t="n">
        <v>11.03</v>
      </c>
      <c r="L7" s="10" t="n">
        <v>10.33</v>
      </c>
      <c r="M7" s="10" t="n">
        <v>9.640000000000001</v>
      </c>
    </row>
    <row r="8">
      <c r="A8" s="8" t="inlineStr">
        <is>
          <t>Less: D&amp;A</t>
        </is>
      </c>
      <c r="G8" s="10" t="n">
        <v>9820772500</v>
      </c>
      <c r="H8" s="10" t="n">
        <v>11462244475</v>
      </c>
      <c r="I8" s="10" t="n">
        <v>13116082606.39</v>
      </c>
      <c r="J8" s="10" t="n">
        <v>14708749780.03</v>
      </c>
      <c r="K8" s="10" t="n">
        <v>16158612258.34</v>
      </c>
      <c r="L8" s="10" t="n">
        <v>17382050043.62</v>
      </c>
      <c r="M8" s="10" t="n">
        <v>18300815545.92</v>
      </c>
    </row>
    <row r="9">
      <c r="A9" s="8" t="inlineStr">
        <is>
          <t>EBIT</t>
        </is>
      </c>
      <c r="G9" s="10" t="n">
        <v>14830616391.5</v>
      </c>
      <c r="H9" s="10" t="n">
        <v>15862495926.73</v>
      </c>
      <c r="I9" s="10" t="n">
        <v>16495500908.49</v>
      </c>
      <c r="J9" s="10" t="n">
        <v>16642014364.75</v>
      </c>
      <c r="K9" s="10" t="n">
        <v>16242637042.09</v>
      </c>
      <c r="L9" s="10" t="n">
        <v>15278189913.79</v>
      </c>
      <c r="M9" s="10" t="n">
        <v>13775522974.57</v>
      </c>
    </row>
    <row r="10">
      <c r="A10" s="8" t="inlineStr">
        <is>
          <t>Less: Taxes</t>
        </is>
      </c>
      <c r="G10" s="10" t="n">
        <v>3488904097.88</v>
      </c>
      <c r="H10" s="10" t="n">
        <v>3965623981.68</v>
      </c>
      <c r="I10" s="10" t="n">
        <v>4123875227.12</v>
      </c>
      <c r="J10" s="10" t="n">
        <v>4160503591.19</v>
      </c>
      <c r="K10" s="10" t="n">
        <v>4060659260.52</v>
      </c>
      <c r="L10" s="10" t="n">
        <v>3819547478.45</v>
      </c>
      <c r="M10" s="10" t="n">
        <v>3443880743.64</v>
      </c>
    </row>
    <row r="11">
      <c r="A11" s="8" t="inlineStr">
        <is>
          <t>EBIAT</t>
        </is>
      </c>
      <c r="G11" s="10" t="n">
        <v>11341712293.63</v>
      </c>
      <c r="H11" s="10" t="n">
        <v>11896871945.05</v>
      </c>
      <c r="I11" s="10" t="n">
        <v>12371625681.37</v>
      </c>
      <c r="J11" s="10" t="n">
        <v>12481510773.56</v>
      </c>
      <c r="K11" s="10" t="n">
        <v>12181977781.56</v>
      </c>
      <c r="L11" s="10" t="n">
        <v>11458642435.34</v>
      </c>
      <c r="M11" s="10" t="n">
        <v>10331642230.93</v>
      </c>
    </row>
    <row r="12">
      <c r="A12" s="8" t="inlineStr">
        <is>
          <t>Plus: D&amp;A</t>
        </is>
      </c>
      <c r="G12" s="10" t="n">
        <v>9820772500</v>
      </c>
      <c r="H12" s="10" t="n">
        <v>11462244475</v>
      </c>
      <c r="I12" s="10" t="n">
        <v>13116082606.39</v>
      </c>
      <c r="J12" s="10" t="n">
        <v>14708749780.03</v>
      </c>
      <c r="K12" s="10" t="n">
        <v>16158612258.34</v>
      </c>
      <c r="L12" s="10" t="n">
        <v>17382050043.62</v>
      </c>
      <c r="M12" s="10" t="n">
        <v>18300815545.92</v>
      </c>
    </row>
    <row r="13">
      <c r="A13" s="8" t="inlineStr">
        <is>
          <t>Less: CapEx</t>
        </is>
      </c>
      <c r="G13" s="10" t="n">
        <v>5356785000</v>
      </c>
      <c r="H13" s="10" t="n">
        <v>6252133350</v>
      </c>
      <c r="I13" s="10" t="n">
        <v>7154226876.21</v>
      </c>
      <c r="J13" s="10" t="n">
        <v>8022954425.47</v>
      </c>
      <c r="K13" s="10" t="n">
        <v>8813788504.549999</v>
      </c>
      <c r="L13" s="10" t="n">
        <v>9481118205.610001</v>
      </c>
      <c r="M13" s="10" t="n">
        <v>9982263025.049999</v>
      </c>
    </row>
    <row r="14">
      <c r="A14" s="8" t="inlineStr">
        <is>
          <t>Less: Change in NWC</t>
        </is>
      </c>
      <c r="G14" s="10" t="n">
        <v>7009184931.51</v>
      </c>
      <c r="H14" s="10" t="n">
        <v>3679513767.12</v>
      </c>
      <c r="I14" s="10" t="n">
        <v>3707233669.37</v>
      </c>
      <c r="J14" s="10" t="n">
        <v>3570113216.11</v>
      </c>
      <c r="K14" s="10" t="n">
        <v>3250003064.72</v>
      </c>
      <c r="L14" s="10" t="n">
        <v>2742450826.27</v>
      </c>
      <c r="M14" s="10" t="n">
        <v>2059499257.97</v>
      </c>
    </row>
    <row r="15">
      <c r="A15" s="11" t="inlineStr">
        <is>
          <t>Unlevered Free Cash Flow</t>
        </is>
      </c>
      <c r="G15" s="12" t="n">
        <v>8796514862.120001</v>
      </c>
      <c r="H15" s="12" t="n">
        <v>13427469302.92</v>
      </c>
      <c r="I15" s="12" t="n">
        <v>14626247742.17</v>
      </c>
      <c r="J15" s="12" t="n">
        <v>15597192912.01</v>
      </c>
      <c r="K15" s="12" t="n">
        <v>16276798470.64</v>
      </c>
      <c r="L15" s="12" t="n">
        <v>16617123447.08</v>
      </c>
      <c r="M15" s="12" t="n">
        <v>16590695493.83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Imagine Marketing Limited P-DRHP - DCF Valuation (INR)</t>
        </is>
      </c>
    </row>
    <row r="3">
      <c r="A3" s="7" t="inlineStr">
        <is>
          <t>Metric</t>
        </is>
      </c>
      <c r="B3" s="7" t="inlineStr">
        <is>
          <t>FY2026E</t>
        </is>
      </c>
      <c r="C3" s="7" t="inlineStr">
        <is>
          <t>FY2027E</t>
        </is>
      </c>
      <c r="D3" s="7" t="inlineStr">
        <is>
          <t>FY2028E</t>
        </is>
      </c>
      <c r="E3" s="7" t="inlineStr">
        <is>
          <t>FY2029E</t>
        </is>
      </c>
      <c r="F3" s="7" t="inlineStr">
        <is>
          <t>FY2030E</t>
        </is>
      </c>
      <c r="G3" s="7" t="inlineStr">
        <is>
          <t>FY2031E</t>
        </is>
      </c>
      <c r="H3" s="7" t="inlineStr">
        <is>
          <t>FY2032E</t>
        </is>
      </c>
    </row>
    <row r="4">
      <c r="A4" s="8" t="inlineStr">
        <is>
          <t>Unlevered Free Cash Flow</t>
        </is>
      </c>
      <c r="B4" s="10" t="n">
        <v>8796514862.120001</v>
      </c>
      <c r="C4" s="10" t="n">
        <v>13427469302.92</v>
      </c>
      <c r="D4" s="10" t="n">
        <v>14626247742.17</v>
      </c>
      <c r="E4" s="10" t="n">
        <v>15597192912.01</v>
      </c>
      <c r="F4" s="10" t="n">
        <v>16276798470.64</v>
      </c>
      <c r="G4" s="10" t="n">
        <v>16617123447.08</v>
      </c>
      <c r="H4" s="10" t="n">
        <v>16590695493.83</v>
      </c>
    </row>
    <row r="5">
      <c r="A5" s="8" t="inlineStr">
        <is>
          <t>Discount Factor</t>
        </is>
      </c>
      <c r="B5" s="13" t="n">
        <v>0.8457</v>
      </c>
      <c r="C5" s="13" t="n">
        <v>0.7153</v>
      </c>
      <c r="D5" s="13" t="n">
        <v>0.6049</v>
      </c>
      <c r="E5" s="13" t="n">
        <v>0.5116000000000001</v>
      </c>
      <c r="F5" s="13" t="n">
        <v>0.4327</v>
      </c>
      <c r="G5" s="13" t="n">
        <v>0.3659</v>
      </c>
      <c r="H5" s="13" t="n">
        <v>0.3095</v>
      </c>
    </row>
    <row r="6">
      <c r="A6" s="8" t="inlineStr">
        <is>
          <t>PV of Free Cash Flow</t>
        </is>
      </c>
      <c r="B6" s="10" t="n">
        <v>7439542339.41</v>
      </c>
      <c r="C6" s="10" t="n">
        <v>9604291350.18</v>
      </c>
      <c r="D6" s="10" t="n">
        <v>8847888929.690001</v>
      </c>
      <c r="E6" s="10" t="n">
        <v>7979740336.76</v>
      </c>
      <c r="F6" s="10" t="n">
        <v>7042824739.07</v>
      </c>
      <c r="G6" s="10" t="n">
        <v>6080920419.97</v>
      </c>
      <c r="H6" s="10" t="n">
        <v>5134683097.78</v>
      </c>
    </row>
    <row r="9">
      <c r="A9" s="8" t="inlineStr">
        <is>
          <t>Sum of PV of FCFs</t>
        </is>
      </c>
      <c r="B9" s="14" t="n">
        <v>52129891212.86</v>
      </c>
    </row>
    <row r="10">
      <c r="A10" s="8" t="inlineStr">
        <is>
          <t>PV of Terminal Value</t>
        </is>
      </c>
      <c r="B10" s="14" t="n">
        <v>34703837683.73</v>
      </c>
    </row>
    <row r="11">
      <c r="A11" s="15" t="inlineStr">
        <is>
          <t>Implied Enterprise Value</t>
        </is>
      </c>
      <c r="B11" s="16" t="n">
        <v>86833728896.59</v>
      </c>
    </row>
    <row r="12">
      <c r="A12" s="8" t="inlineStr">
        <is>
          <t>Less: Total Borrowings</t>
        </is>
      </c>
      <c r="B12" s="14" t="n">
        <v>8260000000</v>
      </c>
    </row>
    <row r="13">
      <c r="A13" s="8" t="inlineStr">
        <is>
          <t>Less: Lease Liabilities</t>
        </is>
      </c>
      <c r="B13" s="17" t="n">
        <v>0</v>
      </c>
    </row>
    <row r="14">
      <c r="A14" s="8" t="inlineStr">
        <is>
          <t>Less: CCPS Liability</t>
        </is>
      </c>
      <c r="B14" s="17" t="n">
        <v>50464700000</v>
      </c>
    </row>
    <row r="15">
      <c r="A15" s="8" t="inlineStr">
        <is>
          <t>Add: Cash &amp; Equivalents</t>
        </is>
      </c>
      <c r="B15" s="14" t="n">
        <v>28276800000</v>
      </c>
    </row>
    <row r="16">
      <c r="A16" s="8" t="inlineStr">
        <is>
          <t>Net Debt</t>
        </is>
      </c>
      <c r="B16" s="14" t="n">
        <v>30447900000</v>
      </c>
    </row>
    <row r="17">
      <c r="A17" s="15" t="inlineStr">
        <is>
          <t>Pre-Adjustment Equity Value</t>
        </is>
      </c>
      <c r="B17" s="16" t="n">
        <v>56385828896.59</v>
      </c>
    </row>
    <row r="18">
      <c r="A18" s="8" t="inlineStr">
        <is>
          <t>Liquidity Discount %</t>
        </is>
      </c>
      <c r="B18" s="6" t="n">
        <v>0.25</v>
      </c>
    </row>
    <row r="19">
      <c r="A19" s="8" t="inlineStr">
        <is>
          <t>Control Premium %</t>
        </is>
      </c>
      <c r="B19" s="6" t="n">
        <v>0</v>
      </c>
    </row>
    <row r="20">
      <c r="A20" s="15" t="inlineStr">
        <is>
          <t>Implied Equity Value</t>
        </is>
      </c>
      <c r="B20" s="16" t="n">
        <v>42289371672.44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Imagine Marketing Limited P-DRHP - Implied Equity Value Sensitivity (INR)</t>
        </is>
      </c>
    </row>
    <row r="3">
      <c r="A3" s="8" t="inlineStr">
        <is>
          <t>Sensitivity: WACC vs. Terminal Growth Rate</t>
        </is>
      </c>
    </row>
    <row r="4">
      <c r="B4" s="14">
        <f>'Valuation'!B20</f>
        <v/>
      </c>
      <c r="C4" s="18" t="n">
        <v>0.02</v>
      </c>
      <c r="D4" s="18" t="n">
        <v>0.025</v>
      </c>
      <c r="E4" s="18" t="n">
        <v>0.03</v>
      </c>
      <c r="F4" s="18" t="n">
        <v>0.035</v>
      </c>
      <c r="G4" s="18" t="n">
        <v>0.04</v>
      </c>
    </row>
    <row r="5">
      <c r="B5" s="18" t="n">
        <v>0.1624</v>
      </c>
      <c r="C5" s="14" t="n">
        <v>49912207732.03919</v>
      </c>
      <c r="D5" s="14" t="n">
        <v>51201245168.22929</v>
      </c>
      <c r="E5" s="14" t="n">
        <v>52587641927.39447</v>
      </c>
      <c r="F5" s="14" t="n">
        <v>54082861038.14246</v>
      </c>
      <c r="G5" s="14" t="n">
        <v>55700238572.97118</v>
      </c>
    </row>
    <row r="6">
      <c r="B6" s="18" t="n">
        <v>0.1724</v>
      </c>
      <c r="C6" s="14" t="n">
        <v>44867384738.70804</v>
      </c>
      <c r="D6" s="14" t="n">
        <v>45933879068.88554</v>
      </c>
      <c r="E6" s="14" t="n">
        <v>47075267663.82272</v>
      </c>
      <c r="F6" s="14" t="n">
        <v>48299726753.29678</v>
      </c>
      <c r="G6" s="14" t="n">
        <v>49616667647.11182</v>
      </c>
    </row>
    <row r="7">
      <c r="B7" s="18" t="n">
        <v>0.1824</v>
      </c>
      <c r="C7" s="14" t="n">
        <v>40448886080.83154</v>
      </c>
      <c r="D7" s="14" t="n">
        <v>41339559682.94461</v>
      </c>
      <c r="E7" s="14" t="n">
        <v>42288676434.80266</v>
      </c>
      <c r="F7" s="14" t="n">
        <v>43302183739.70396</v>
      </c>
      <c r="G7" s="14" t="n">
        <v>44386864310.39893</v>
      </c>
    </row>
    <row r="8">
      <c r="B8" s="18" t="n">
        <v>0.1924</v>
      </c>
      <c r="C8" s="14" t="n">
        <v>36547608471.88516</v>
      </c>
      <c r="D8" s="14" t="n">
        <v>37297625875.08513</v>
      </c>
      <c r="E8" s="14" t="n">
        <v>38093826615.92055</v>
      </c>
      <c r="F8" s="14" t="n">
        <v>38940611901.91706</v>
      </c>
      <c r="G8" s="14" t="n">
        <v>39842960526.88972</v>
      </c>
    </row>
    <row r="9">
      <c r="B9" s="18" t="n">
        <v>0.2024</v>
      </c>
      <c r="C9" s="14" t="n">
        <v>33078376668.44666</v>
      </c>
      <c r="D9" s="14" t="n">
        <v>33714620529.69653</v>
      </c>
      <c r="E9" s="14" t="n">
        <v>34387769487.30661</v>
      </c>
      <c r="F9" s="14" t="n">
        <v>35101130449.55289</v>
      </c>
      <c r="G9" s="14" t="n">
        <v>35858417579.42517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2026-03-10T19:52:53Z</dcterms:created>
  <dcterms:modified xmlns:dcterms="http://purl.org/dc/terms/" xmlns:xsi="http://www.w3.org/2001/XMLSchema-instance" xsi:type="dcterms:W3CDTF">2026-03-10T19:52:53Z</dcterms:modified>
</cp:coreProperties>
</file>