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Imagine Marketing Limited P-DRHP Scenario - Key Assumptions</t>
        </is>
      </c>
    </row>
    <row r="3">
      <c r="A3" t="inlineStr">
        <is>
          <t>Revenue Cagr</t>
        </is>
      </c>
      <c r="B3" s="2" t="n">
        <v>0.19</v>
      </c>
    </row>
    <row r="4">
      <c r="A4" t="inlineStr">
        <is>
          <t>Revenue Cagr Override</t>
        </is>
      </c>
      <c r="B4" s="2" t="n">
        <v>0.19</v>
      </c>
    </row>
    <row r="5">
      <c r="A5" t="inlineStr">
        <is>
          <t>Avg Ebitda Margin</t>
        </is>
      </c>
      <c r="B5" s="2" t="n">
        <v>0.1158</v>
      </c>
    </row>
    <row r="6">
      <c r="A6" t="inlineStr">
        <is>
          <t>Latest Ebitda Margin</t>
        </is>
      </c>
      <c r="B6" s="2" t="n">
        <v>0.145</v>
      </c>
    </row>
    <row r="7">
      <c r="A7" t="inlineStr">
        <is>
          <t>Terminal Ebitda Margin</t>
        </is>
      </c>
      <c r="B7" s="2" t="n">
        <v>0.0964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3" t="n">
        <v>875000000</v>
      </c>
    </row>
    <row r="10">
      <c r="A10" t="inlineStr">
        <is>
          <t>Da Percent Rev</t>
        </is>
      </c>
      <c r="B10" s="2" t="n">
        <v>0.055</v>
      </c>
    </row>
    <row r="11">
      <c r="A11" t="inlineStr">
        <is>
          <t>Cap Ex Percent Rev</t>
        </is>
      </c>
      <c r="B11" s="2" t="n">
        <v>0.03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0.1824</v>
      </c>
    </row>
    <row r="16">
      <c r="A16" t="inlineStr">
        <is>
          <t>Terminal Growth Rate</t>
        </is>
      </c>
      <c r="B16" s="4" t="n">
        <v>0.03</v>
      </c>
    </row>
    <row r="18">
      <c r="A18" s="5" t="inlineStr">
        <is>
          <t>WACC Calculation Breakdown</t>
        </is>
      </c>
    </row>
    <row r="19">
      <c r="A19" t="inlineStr">
        <is>
          <t>Risk-Free Rate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0.0625</v>
      </c>
    </row>
    <row r="21">
      <c r="A21" t="inlineStr">
        <is>
          <t>Size Premium</t>
        </is>
      </c>
      <c r="B21" s="6" t="n">
        <v>0.03</v>
      </c>
    </row>
    <row r="22">
      <c r="A22" t="inlineStr">
        <is>
          <t>Specific Risk Premium</t>
        </is>
      </c>
      <c r="B22" s="6" t="n">
        <v>0.04</v>
      </c>
    </row>
    <row r="23">
      <c r="A23" t="inlineStr">
        <is>
          <t>Cost of Equity (Build-Up)</t>
        </is>
      </c>
      <c r="B23" s="6" t="n">
        <v>0.2025</v>
      </c>
    </row>
    <row r="24">
      <c r="A24" t="inlineStr">
        <is>
          <t>Cost of Debt</t>
        </is>
      </c>
      <c r="B24" s="6" t="n">
        <v>0.09</v>
      </c>
    </row>
    <row r="25">
      <c r="A25" t="inlineStr">
        <is>
          <t>After-Tax Cost of Debt</t>
        </is>
      </c>
      <c r="B25" s="6" t="n">
        <v>0.0675</v>
      </c>
    </row>
    <row r="26">
      <c r="A26" t="inlineStr">
        <is>
          <t>Weight of Equity</t>
        </is>
      </c>
      <c r="B26" s="6" t="n">
        <v>0.7407</v>
      </c>
    </row>
    <row r="27">
      <c r="A27" t="inlineStr">
        <is>
          <t>Weight of Debt</t>
        </is>
      </c>
      <c r="B27" s="6" t="n">
        <v>0.2593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Imagine Marketing Limited P-DRHP Scenario - Financial Projections (INR)</t>
        </is>
      </c>
    </row>
    <row r="3">
      <c r="A3" s="7" t="inlineStr">
        <is>
          <t>Metric</t>
        </is>
      </c>
      <c r="B3" s="7" t="inlineStr">
        <is>
          <t>FY2021A</t>
        </is>
      </c>
      <c r="C3" s="7" t="inlineStr">
        <is>
          <t>FY2022A</t>
        </is>
      </c>
      <c r="D3" s="7" t="inlineStr">
        <is>
          <t>FY2023A</t>
        </is>
      </c>
      <c r="E3" s="7" t="inlineStr">
        <is>
          <t>FY2024A</t>
        </is>
      </c>
      <c r="F3" s="7" t="inlineStr">
        <is>
          <t>FY2025A</t>
        </is>
      </c>
      <c r="G3" s="7" t="inlineStr">
        <is>
          <t>FY2026E</t>
        </is>
      </c>
      <c r="H3" s="7" t="inlineStr">
        <is>
          <t>FY2027E</t>
        </is>
      </c>
      <c r="I3" s="7" t="inlineStr">
        <is>
          <t>FY2028E</t>
        </is>
      </c>
      <c r="J3" s="7" t="inlineStr">
        <is>
          <t>FY2029E</t>
        </is>
      </c>
      <c r="K3" s="7" t="inlineStr">
        <is>
          <t>FY2030E</t>
        </is>
      </c>
    </row>
    <row r="4">
      <c r="A4" s="8" t="inlineStr">
        <is>
          <t>Revenue</t>
        </is>
      </c>
      <c r="B4" s="9" t="n">
        <v>87500000000</v>
      </c>
      <c r="C4" s="9" t="n">
        <v>102000000000</v>
      </c>
      <c r="D4" s="9" t="n">
        <v>118000000000</v>
      </c>
      <c r="E4" s="9" t="n">
        <v>135000000000</v>
      </c>
      <c r="F4" s="9" t="n">
        <v>150050000000</v>
      </c>
      <c r="G4" s="10" t="n">
        <v>178559500000</v>
      </c>
      <c r="H4" s="10" t="n">
        <v>206771901000</v>
      </c>
      <c r="I4" s="10" t="n">
        <v>232825160526</v>
      </c>
      <c r="J4" s="10" t="n">
        <v>254710725615.44</v>
      </c>
      <c r="K4" s="10" t="n">
        <v>270502790603.6</v>
      </c>
    </row>
    <row r="5">
      <c r="A5" s="8" t="inlineStr">
        <is>
          <t xml:space="preserve">  Revenue Growth %</t>
        </is>
      </c>
      <c r="B5" s="9" t="n"/>
      <c r="C5" s="9" t="n">
        <v>16.57</v>
      </c>
      <c r="D5" s="9" t="n">
        <v>15.69</v>
      </c>
      <c r="E5" s="9" t="n">
        <v>14.41</v>
      </c>
      <c r="F5" s="9" t="n">
        <v>11.15</v>
      </c>
      <c r="G5" s="10" t="n">
        <v>19</v>
      </c>
      <c r="H5" s="10" t="n">
        <v>15.8</v>
      </c>
      <c r="I5" s="10" t="n">
        <v>12.6</v>
      </c>
      <c r="J5" s="10" t="n">
        <v>9.4</v>
      </c>
      <c r="K5" s="10" t="n">
        <v>6.2</v>
      </c>
    </row>
    <row r="6">
      <c r="A6" s="8" t="inlineStr">
        <is>
          <t>EBITDA</t>
        </is>
      </c>
      <c r="B6" s="9" t="n">
        <v>3937500000</v>
      </c>
      <c r="C6" s="9" t="n">
        <v>7344000000</v>
      </c>
      <c r="D6" s="9" t="n">
        <v>11328000000</v>
      </c>
      <c r="E6" s="9" t="n">
        <v>16740000000</v>
      </c>
      <c r="F6" s="9" t="n">
        <v>21757250000</v>
      </c>
      <c r="G6" s="10" t="n">
        <v>24155529160</v>
      </c>
      <c r="H6" s="10" t="n">
        <v>25962279889.56</v>
      </c>
      <c r="I6" s="10" t="n">
        <v>26970466595.33</v>
      </c>
      <c r="J6" s="10" t="n">
        <v>27029902202.31</v>
      </c>
      <c r="K6" s="10" t="n">
        <v>26076469014.19</v>
      </c>
    </row>
    <row r="7">
      <c r="A7" s="8" t="inlineStr">
        <is>
          <t xml:space="preserve">  EBITDA Margin %</t>
        </is>
      </c>
      <c r="B7" s="9" t="n">
        <v>4.5</v>
      </c>
      <c r="C7" s="9" t="n">
        <v>7.2</v>
      </c>
      <c r="D7" s="9" t="n">
        <v>9.6</v>
      </c>
      <c r="E7" s="9" t="n">
        <v>12.4</v>
      </c>
      <c r="F7" s="9" t="n">
        <v>14.5</v>
      </c>
      <c r="G7" s="10" t="n">
        <v>13.53</v>
      </c>
      <c r="H7" s="10" t="n">
        <v>12.56</v>
      </c>
      <c r="I7" s="10" t="n">
        <v>11.58</v>
      </c>
      <c r="J7" s="10" t="n">
        <v>10.61</v>
      </c>
      <c r="K7" s="10" t="n">
        <v>9.640000000000001</v>
      </c>
    </row>
    <row r="8">
      <c r="A8" s="8" t="inlineStr">
        <is>
          <t>Less: D&amp;A</t>
        </is>
      </c>
      <c r="G8" s="10" t="n">
        <v>9820772500</v>
      </c>
      <c r="H8" s="10" t="n">
        <v>11372454555</v>
      </c>
      <c r="I8" s="10" t="n">
        <v>12805383828.93</v>
      </c>
      <c r="J8" s="10" t="n">
        <v>14009089908.85</v>
      </c>
      <c r="K8" s="10" t="n">
        <v>14877653483.2</v>
      </c>
    </row>
    <row r="9">
      <c r="A9" s="8" t="inlineStr">
        <is>
          <t>EBIT</t>
        </is>
      </c>
      <c r="G9" s="10" t="n">
        <v>14334756660</v>
      </c>
      <c r="H9" s="10" t="n">
        <v>14589825334.56</v>
      </c>
      <c r="I9" s="10" t="n">
        <v>14165082766.4</v>
      </c>
      <c r="J9" s="10" t="n">
        <v>13020812293.46</v>
      </c>
      <c r="K9" s="10" t="n">
        <v>11198815530.99</v>
      </c>
    </row>
    <row r="10">
      <c r="A10" s="8" t="inlineStr">
        <is>
          <t>Less: Taxes</t>
        </is>
      </c>
      <c r="G10" s="10" t="n">
        <v>3364939165</v>
      </c>
      <c r="H10" s="10" t="n">
        <v>3647456333.64</v>
      </c>
      <c r="I10" s="10" t="n">
        <v>3541270691.6</v>
      </c>
      <c r="J10" s="10" t="n">
        <v>3255203073.37</v>
      </c>
      <c r="K10" s="10" t="n">
        <v>2799703882.75</v>
      </c>
    </row>
    <row r="11">
      <c r="A11" s="8" t="inlineStr">
        <is>
          <t>EBIAT</t>
        </is>
      </c>
      <c r="G11" s="10" t="n">
        <v>10969817495</v>
      </c>
      <c r="H11" s="10" t="n">
        <v>10942369000.92</v>
      </c>
      <c r="I11" s="10" t="n">
        <v>10623812074.8</v>
      </c>
      <c r="J11" s="10" t="n">
        <v>9765609220.1</v>
      </c>
      <c r="K11" s="10" t="n">
        <v>8399111648.24</v>
      </c>
    </row>
    <row r="12">
      <c r="A12" s="8" t="inlineStr">
        <is>
          <t>Plus: D&amp;A</t>
        </is>
      </c>
      <c r="G12" s="10" t="n">
        <v>9820772500</v>
      </c>
      <c r="H12" s="10" t="n">
        <v>11372454555</v>
      </c>
      <c r="I12" s="10" t="n">
        <v>12805383828.93</v>
      </c>
      <c r="J12" s="10" t="n">
        <v>14009089908.85</v>
      </c>
      <c r="K12" s="10" t="n">
        <v>14877653483.2</v>
      </c>
    </row>
    <row r="13">
      <c r="A13" s="8" t="inlineStr">
        <is>
          <t>Less: CapEx</t>
        </is>
      </c>
      <c r="G13" s="10" t="n">
        <v>5356785000</v>
      </c>
      <c r="H13" s="10" t="n">
        <v>6203157030</v>
      </c>
      <c r="I13" s="10" t="n">
        <v>6984754815.78</v>
      </c>
      <c r="J13" s="10" t="n">
        <v>7641321768.46</v>
      </c>
      <c r="K13" s="10" t="n">
        <v>8115083718.11</v>
      </c>
    </row>
    <row r="14">
      <c r="A14" s="8" t="inlineStr">
        <is>
          <t>Less: Change in NWC</t>
        </is>
      </c>
      <c r="G14" s="10" t="n">
        <v>7009184931.51</v>
      </c>
      <c r="H14" s="10" t="n">
        <v>3478241219.18</v>
      </c>
      <c r="I14" s="10" t="n">
        <v>3212045694.99</v>
      </c>
      <c r="J14" s="10" t="n">
        <v>2698220353.49</v>
      </c>
      <c r="K14" s="10" t="n">
        <v>1946966916.35</v>
      </c>
    </row>
    <row r="15">
      <c r="A15" s="11" t="inlineStr">
        <is>
          <t>Unlevered Free Cash Flow</t>
        </is>
      </c>
      <c r="G15" s="12" t="n">
        <v>8424620063.49</v>
      </c>
      <c r="H15" s="12" t="n">
        <v>12633425306.74</v>
      </c>
      <c r="I15" s="12" t="n">
        <v>13232395392.97</v>
      </c>
      <c r="J15" s="12" t="n">
        <v>13435157006.99</v>
      </c>
      <c r="K15" s="12" t="n">
        <v>13214714496.98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Imagine Marketing Limited P-DRHP Scenario - DCF Valuation (INR)</t>
        </is>
      </c>
    </row>
    <row r="3">
      <c r="A3" s="7" t="inlineStr">
        <is>
          <t>Metric</t>
        </is>
      </c>
      <c r="B3" s="7" t="inlineStr">
        <is>
          <t>FY2026E</t>
        </is>
      </c>
      <c r="C3" s="7" t="inlineStr">
        <is>
          <t>FY2027E</t>
        </is>
      </c>
      <c r="D3" s="7" t="inlineStr">
        <is>
          <t>FY2028E</t>
        </is>
      </c>
      <c r="E3" s="7" t="inlineStr">
        <is>
          <t>FY2029E</t>
        </is>
      </c>
      <c r="F3" s="7" t="inlineStr">
        <is>
          <t>FY2030E</t>
        </is>
      </c>
    </row>
    <row r="4">
      <c r="A4" s="8" t="inlineStr">
        <is>
          <t>Unlevered Free Cash Flow</t>
        </is>
      </c>
      <c r="B4" s="10" t="n">
        <v>8424620063.49</v>
      </c>
      <c r="C4" s="10" t="n">
        <v>12633425306.74</v>
      </c>
      <c r="D4" s="10" t="n">
        <v>13232395392.97</v>
      </c>
      <c r="E4" s="10" t="n">
        <v>13435157006.99</v>
      </c>
      <c r="F4" s="10" t="n">
        <v>13214714496.98</v>
      </c>
    </row>
    <row r="5">
      <c r="A5" s="8" t="inlineStr">
        <is>
          <t>Discount Factor</t>
        </is>
      </c>
      <c r="B5" s="13" t="n">
        <v>0.8457</v>
      </c>
      <c r="C5" s="13" t="n">
        <v>0.7153</v>
      </c>
      <c r="D5" s="13" t="n">
        <v>0.6049</v>
      </c>
      <c r="E5" s="13" t="n">
        <v>0.5116000000000001</v>
      </c>
      <c r="F5" s="13" t="n">
        <v>0.4327</v>
      </c>
    </row>
    <row r="6">
      <c r="A6" s="8" t="inlineStr">
        <is>
          <t>PV of Free Cash Flow</t>
        </is>
      </c>
      <c r="B6" s="10" t="n">
        <v>7125016968.45</v>
      </c>
      <c r="C6" s="10" t="n">
        <v>9036334000.059999</v>
      </c>
      <c r="D6" s="10" t="n">
        <v>8004702694.41</v>
      </c>
      <c r="E6" s="10" t="n">
        <v>6873612765.08</v>
      </c>
      <c r="F6" s="10" t="n">
        <v>5717888462.34</v>
      </c>
    </row>
    <row r="9">
      <c r="A9" s="8" t="inlineStr">
        <is>
          <t>Sum of PV of FCFs</t>
        </is>
      </c>
      <c r="B9" s="14" t="n">
        <v>36757554890.32</v>
      </c>
    </row>
    <row r="10">
      <c r="A10" s="8" t="inlineStr">
        <is>
          <t>PV of Terminal Value</t>
        </is>
      </c>
      <c r="B10" s="14" t="n">
        <v>38645322649.14</v>
      </c>
    </row>
    <row r="11">
      <c r="A11" s="15" t="inlineStr">
        <is>
          <t>Implied Enterprise Value</t>
        </is>
      </c>
      <c r="B11" s="16" t="n">
        <v>75402877539.46001</v>
      </c>
    </row>
    <row r="12">
      <c r="A12" s="8" t="inlineStr">
        <is>
          <t>Less: Total Borrowings</t>
        </is>
      </c>
      <c r="B12" s="14" t="n">
        <v>8260000000</v>
      </c>
    </row>
    <row r="13">
      <c r="A13" s="8" t="inlineStr">
        <is>
          <t>Less: Lease Liabilities</t>
        </is>
      </c>
      <c r="B13" s="17" t="n">
        <v>0</v>
      </c>
    </row>
    <row r="14">
      <c r="A14" s="8" t="inlineStr">
        <is>
          <t>Less: CCPS Liability</t>
        </is>
      </c>
      <c r="B14" s="17" t="n">
        <v>50464700000</v>
      </c>
    </row>
    <row r="15">
      <c r="A15" s="8" t="inlineStr">
        <is>
          <t>Add: Cash &amp; Equivalents</t>
        </is>
      </c>
      <c r="B15" s="14" t="n">
        <v>28276800000</v>
      </c>
    </row>
    <row r="16">
      <c r="A16" s="8" t="inlineStr">
        <is>
          <t>Net Debt</t>
        </is>
      </c>
      <c r="B16" s="14" t="n">
        <v>30447900000</v>
      </c>
    </row>
    <row r="17">
      <c r="A17" s="15" t="inlineStr">
        <is>
          <t>Pre-Adjustment Equity Value</t>
        </is>
      </c>
      <c r="B17" s="16" t="n">
        <v>44954977539.46</v>
      </c>
    </row>
    <row r="18">
      <c r="A18" s="8" t="inlineStr">
        <is>
          <t>Liquidity Discount %</t>
        </is>
      </c>
      <c r="B18" s="6" t="n">
        <v>0.25</v>
      </c>
    </row>
    <row r="19">
      <c r="A19" s="8" t="inlineStr">
        <is>
          <t>Control Premium %</t>
        </is>
      </c>
      <c r="B19" s="6" t="n">
        <v>0</v>
      </c>
    </row>
    <row r="20">
      <c r="A20" s="15" t="inlineStr">
        <is>
          <t>Implied Equity Value</t>
        </is>
      </c>
      <c r="B20" s="16" t="n">
        <v>33716233154.6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Imagine Marketing Limited P-DRHP Scenario - Implied Equity Value Sensitivity (INR)</t>
        </is>
      </c>
    </row>
    <row r="3">
      <c r="A3" s="8" t="inlineStr">
        <is>
          <t>Sensitivity: WACC vs. Terminal Growth Rate</t>
        </is>
      </c>
    </row>
    <row r="4">
      <c r="B4" s="14">
        <f>'Valuation'!B20</f>
        <v/>
      </c>
      <c r="C4" s="18" t="n">
        <v>0.02</v>
      </c>
      <c r="D4" s="18" t="n">
        <v>0.025</v>
      </c>
      <c r="E4" s="18" t="n">
        <v>0.03</v>
      </c>
      <c r="F4" s="18" t="n">
        <v>0.035</v>
      </c>
      <c r="G4" s="18" t="n">
        <v>0.04</v>
      </c>
    </row>
    <row r="5">
      <c r="B5" s="18" t="n">
        <v>0.1624</v>
      </c>
      <c r="C5" s="14" t="n">
        <v>39573262567.47553</v>
      </c>
      <c r="D5" s="14" t="n">
        <v>40960561094.65591</v>
      </c>
      <c r="E5" s="14" t="n">
        <v>42452640477.36349</v>
      </c>
      <c r="F5" s="14" t="n">
        <v>44061837551.02144</v>
      </c>
      <c r="G5" s="14" t="n">
        <v>45802504973.83445</v>
      </c>
    </row>
    <row r="6">
      <c r="B6" s="18" t="n">
        <v>0.1724</v>
      </c>
      <c r="C6" s="14" t="n">
        <v>35360178439.45773</v>
      </c>
      <c r="D6" s="14" t="n">
        <v>36527803379.54004</v>
      </c>
      <c r="E6" s="14" t="n">
        <v>37777424453.05511</v>
      </c>
      <c r="F6" s="14" t="n">
        <v>39117993202.95408</v>
      </c>
      <c r="G6" s="14" t="n">
        <v>40559813369.00858</v>
      </c>
    </row>
    <row r="7">
      <c r="B7" s="18" t="n">
        <v>0.1824</v>
      </c>
      <c r="C7" s="14" t="n">
        <v>31666875857.92966</v>
      </c>
      <c r="D7" s="14" t="n">
        <v>32658713565.58342</v>
      </c>
      <c r="E7" s="14" t="n">
        <v>33715632487.65015</v>
      </c>
      <c r="F7" s="14" t="n">
        <v>34844255542.82858</v>
      </c>
      <c r="G7" s="14" t="n">
        <v>36052135835.02798</v>
      </c>
    </row>
    <row r="8">
      <c r="B8" s="18" t="n">
        <v>0.1924</v>
      </c>
      <c r="C8" s="14" t="n">
        <v>28402922242.90764</v>
      </c>
      <c r="D8" s="14" t="n">
        <v>29252314832.64871</v>
      </c>
      <c r="E8" s="14" t="n">
        <v>30154009921.75809</v>
      </c>
      <c r="F8" s="14" t="n">
        <v>31112991865.32167</v>
      </c>
      <c r="G8" s="14" t="n">
        <v>32134899133.26606</v>
      </c>
    </row>
    <row r="9">
      <c r="B9" s="18" t="n">
        <v>0.2024</v>
      </c>
      <c r="C9" s="14" t="n">
        <v>25497714362.26761</v>
      </c>
      <c r="D9" s="14" t="n">
        <v>26230395030.08308</v>
      </c>
      <c r="E9" s="14" t="n">
        <v>27005574576.54216</v>
      </c>
      <c r="F9" s="14" t="n">
        <v>27827061144.89244</v>
      </c>
      <c r="G9" s="14" t="n">
        <v>28699131861.54017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2026-03-10T21:14:35Z</dcterms:created>
  <dcterms:modified xmlns:dcterms="http://purl.org/dc/terms/" xmlns:xsi="http://www.w3.org/2001/XMLSchema-instance" xsi:type="dcterms:W3CDTF">2026-03-10T21:14:35Z</dcterms:modified>
</cp:coreProperties>
</file>