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wuhdiud - Key Assumptions</t>
        </is>
      </c>
    </row>
    <row r="3">
      <c r="A3" t="inlineStr">
        <is>
          <t>Revenue Cagr</t>
        </is>
      </c>
      <c r="B3" s="2" t="n">
        <v>0.1362</v>
      </c>
    </row>
    <row r="4">
      <c r="A4" t="inlineStr">
        <is>
          <t>Avg Ebitda Margin</t>
        </is>
      </c>
      <c r="B4" s="2" t="n">
        <v>0.12</v>
      </c>
    </row>
    <row r="5">
      <c r="A5" t="inlineStr">
        <is>
          <t>Tax Rate</t>
        </is>
      </c>
      <c r="B5" s="2" t="n">
        <v>0.25</v>
      </c>
    </row>
    <row r="6">
      <c r="A6" t="inlineStr">
        <is>
          <t>Da Percent Rev</t>
        </is>
      </c>
      <c r="B6" s="2" t="n">
        <v>0.06</v>
      </c>
    </row>
    <row r="7">
      <c r="A7" t="inlineStr">
        <is>
          <t>Cap Ex Percent Rev</t>
        </is>
      </c>
      <c r="B7" s="2" t="n">
        <v>0.08</v>
      </c>
    </row>
    <row r="8">
      <c r="A8" t="inlineStr">
        <is>
          <t>Nwc Percent Rev</t>
        </is>
      </c>
      <c r="B8" s="2" t="n">
        <v>0.1</v>
      </c>
    </row>
    <row r="9">
      <c r="A9" t="inlineStr">
        <is>
          <t>Scenario</t>
        </is>
      </c>
      <c r="B9" s="3" t="inlineStr">
        <is>
          <t>Base Case</t>
        </is>
      </c>
    </row>
    <row r="11">
      <c r="A11" t="inlineStr">
        <is>
          <t>WACC</t>
        </is>
      </c>
      <c r="B11" s="4" t="n">
        <v>0.1246</v>
      </c>
    </row>
    <row r="12">
      <c r="A12" t="inlineStr">
        <is>
          <t>Terminal Growth Rate</t>
        </is>
      </c>
      <c r="B12" s="4" t="n">
        <v>0.025</v>
      </c>
    </row>
    <row r="14">
      <c r="A14" s="5" t="inlineStr">
        <is>
          <t>WACC Calculation Breakdown</t>
        </is>
      </c>
    </row>
    <row r="15">
      <c r="A15" t="inlineStr">
        <is>
          <t>Risk-Free Rate (10Y G-Sec)</t>
        </is>
      </c>
      <c r="B15" s="6" t="n">
        <v>0.07000000000000001</v>
      </c>
    </row>
    <row r="16">
      <c r="A16" t="inlineStr">
        <is>
          <t>Equity Risk Premium</t>
        </is>
      </c>
      <c r="B16" s="6" t="n">
        <v>0.06</v>
      </c>
    </row>
    <row r="17">
      <c r="A17" t="inlineStr">
        <is>
          <t>Beta</t>
        </is>
      </c>
      <c r="B17" s="7" t="n">
        <v>1.1</v>
      </c>
    </row>
    <row r="18">
      <c r="A18" t="inlineStr">
        <is>
          <t>Cost of Equity (CAPM)</t>
        </is>
      </c>
      <c r="B18" s="6" t="n">
        <v>0.136</v>
      </c>
    </row>
    <row r="19">
      <c r="A19" t="inlineStr">
        <is>
          <t>Cost of Debt</t>
        </is>
      </c>
      <c r="B19" s="6" t="n">
        <v>0.09</v>
      </c>
    </row>
    <row r="20">
      <c r="A20" t="inlineStr">
        <is>
          <t>After-Tax Cost of Debt</t>
        </is>
      </c>
      <c r="B20" s="6" t="n">
        <v>0.0675</v>
      </c>
    </row>
    <row r="21">
      <c r="A21" t="inlineStr">
        <is>
          <t>Weight of Equity</t>
        </is>
      </c>
      <c r="B21" s="6" t="n">
        <v>0.8333</v>
      </c>
    </row>
    <row r="22">
      <c r="A22" t="inlineStr">
        <is>
          <t>Weight of Debt</t>
        </is>
      </c>
      <c r="B22" s="6" t="n">
        <v>0.1667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wuhdiud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150000000000</v>
      </c>
      <c r="C4" s="10" t="n">
        <v>180000000000</v>
      </c>
      <c r="D4" s="10" t="n">
        <v>200000000000</v>
      </c>
      <c r="E4" s="10" t="n">
        <v>220000000000</v>
      </c>
      <c r="F4" s="10" t="n">
        <v>250000000000</v>
      </c>
      <c r="G4" s="11" t="n">
        <v>284054841616.87</v>
      </c>
      <c r="H4" s="11" t="n">
        <v>318235412251.57</v>
      </c>
      <c r="I4" s="11" t="n">
        <v>351472683942.25</v>
      </c>
      <c r="J4" s="11" t="n">
        <v>382596969177.2</v>
      </c>
      <c r="K4" s="11" t="n">
        <v>410398547345.6</v>
      </c>
      <c r="L4" s="11" t="n">
        <v>433699730010.66</v>
      </c>
      <c r="M4" s="11" t="n">
        <v>451433053147.91</v>
      </c>
    </row>
    <row r="5">
      <c r="A5" s="9" t="inlineStr">
        <is>
          <t xml:space="preserve">  Revenue Growth %</t>
        </is>
      </c>
      <c r="B5" s="10" t="n"/>
      <c r="C5" s="10" t="n">
        <v>20</v>
      </c>
      <c r="D5" s="10" t="n">
        <v>11.11</v>
      </c>
      <c r="E5" s="10" t="n">
        <v>10</v>
      </c>
      <c r="F5" s="10" t="n">
        <v>13.64</v>
      </c>
      <c r="G5" s="11" t="n">
        <v>13.62</v>
      </c>
      <c r="H5" s="11" t="n">
        <v>12.03</v>
      </c>
      <c r="I5" s="11" t="n">
        <v>10.44</v>
      </c>
      <c r="J5" s="11" t="n">
        <v>8.859999999999999</v>
      </c>
      <c r="K5" s="11" t="n">
        <v>7.27</v>
      </c>
      <c r="L5" s="11" t="n">
        <v>5.68</v>
      </c>
      <c r="M5" s="11" t="n">
        <v>4.09</v>
      </c>
    </row>
    <row r="6">
      <c r="A6" s="9" t="inlineStr">
        <is>
          <t>EBITDA</t>
        </is>
      </c>
      <c r="B6" s="10" t="n">
        <v>18000000000</v>
      </c>
      <c r="C6" s="10" t="n">
        <v>21600000000</v>
      </c>
      <c r="D6" s="10" t="n">
        <v>24000000000</v>
      </c>
      <c r="G6" s="11" t="n">
        <v>34086580994.02</v>
      </c>
      <c r="H6" s="11" t="n">
        <v>38188249470.19</v>
      </c>
      <c r="I6" s="11" t="n">
        <v>42176722073.07</v>
      </c>
      <c r="J6" s="11" t="n">
        <v>45911636301.26</v>
      </c>
      <c r="K6" s="11" t="n">
        <v>49247825681.47</v>
      </c>
      <c r="L6" s="11" t="n">
        <v>52043967601.28</v>
      </c>
      <c r="M6" s="11" t="n">
        <v>54171966377.75</v>
      </c>
    </row>
    <row r="7">
      <c r="A7" s="9" t="inlineStr">
        <is>
          <t xml:space="preserve">  EBITDA Margin %</t>
        </is>
      </c>
      <c r="B7" s="10" t="n">
        <v>12</v>
      </c>
      <c r="C7" s="10" t="n">
        <v>12</v>
      </c>
      <c r="D7" s="10" t="n">
        <v>12</v>
      </c>
      <c r="G7" s="11" t="n">
        <v>12</v>
      </c>
      <c r="H7" s="11" t="n">
        <v>12</v>
      </c>
      <c r="I7" s="11" t="n">
        <v>12</v>
      </c>
      <c r="J7" s="11" t="n">
        <v>12</v>
      </c>
      <c r="K7" s="11" t="n">
        <v>12</v>
      </c>
      <c r="L7" s="11" t="n">
        <v>12</v>
      </c>
      <c r="M7" s="11" t="n">
        <v>12</v>
      </c>
    </row>
    <row r="8">
      <c r="A8" s="9" t="inlineStr">
        <is>
          <t>Less: D&amp;A</t>
        </is>
      </c>
      <c r="G8" s="11" t="n">
        <v>17043290497.01</v>
      </c>
      <c r="H8" s="11" t="n">
        <v>19094124735.09</v>
      </c>
      <c r="I8" s="11" t="n">
        <v>21088361036.53</v>
      </c>
      <c r="J8" s="11" t="n">
        <v>22955818150.63</v>
      </c>
      <c r="K8" s="11" t="n">
        <v>24623912840.74</v>
      </c>
      <c r="L8" s="11" t="n">
        <v>26021983800.64</v>
      </c>
      <c r="M8" s="11" t="n">
        <v>27085983188.87</v>
      </c>
    </row>
    <row r="9">
      <c r="A9" s="9" t="inlineStr">
        <is>
          <t>EBIT</t>
        </is>
      </c>
      <c r="G9" s="11" t="n">
        <v>17043290497.01</v>
      </c>
      <c r="H9" s="11" t="n">
        <v>19094124735.09</v>
      </c>
      <c r="I9" s="11" t="n">
        <v>21088361036.53</v>
      </c>
      <c r="J9" s="11" t="n">
        <v>22955818150.63</v>
      </c>
      <c r="K9" s="11" t="n">
        <v>24623912840.74</v>
      </c>
      <c r="L9" s="11" t="n">
        <v>26021983800.64</v>
      </c>
      <c r="M9" s="11" t="n">
        <v>27085983188.87</v>
      </c>
    </row>
    <row r="10">
      <c r="A10" s="9" t="inlineStr">
        <is>
          <t>Less: Taxes</t>
        </is>
      </c>
      <c r="G10" s="11" t="n">
        <v>4260822624.25</v>
      </c>
      <c r="H10" s="11" t="n">
        <v>4773531183.77</v>
      </c>
      <c r="I10" s="11" t="n">
        <v>5272090259.13</v>
      </c>
      <c r="J10" s="11" t="n">
        <v>5738954537.66</v>
      </c>
      <c r="K10" s="11" t="n">
        <v>6155978210.18</v>
      </c>
      <c r="L10" s="11" t="n">
        <v>6505495950.16</v>
      </c>
      <c r="M10" s="11" t="n">
        <v>6771495797.22</v>
      </c>
    </row>
    <row r="11">
      <c r="A11" s="9" t="inlineStr">
        <is>
          <t>EBIAT</t>
        </is>
      </c>
      <c r="G11" s="11" t="n">
        <v>12782467872.76</v>
      </c>
      <c r="H11" s="11" t="n">
        <v>14320593551.32</v>
      </c>
      <c r="I11" s="11" t="n">
        <v>15816270777.4</v>
      </c>
      <c r="J11" s="11" t="n">
        <v>17216863612.97</v>
      </c>
      <c r="K11" s="11" t="n">
        <v>18467934630.55</v>
      </c>
      <c r="L11" s="11" t="n">
        <v>19516487850.48</v>
      </c>
      <c r="M11" s="11" t="n">
        <v>20314487391.66</v>
      </c>
    </row>
    <row r="12">
      <c r="A12" s="9" t="inlineStr">
        <is>
          <t>Plus: D&amp;A</t>
        </is>
      </c>
      <c r="G12" s="11" t="n">
        <v>17043290497.01</v>
      </c>
      <c r="H12" s="11" t="n">
        <v>19094124735.09</v>
      </c>
      <c r="I12" s="11" t="n">
        <v>21088361036.53</v>
      </c>
      <c r="J12" s="11" t="n">
        <v>22955818150.63</v>
      </c>
      <c r="K12" s="11" t="n">
        <v>24623912840.74</v>
      </c>
      <c r="L12" s="11" t="n">
        <v>26021983800.64</v>
      </c>
      <c r="M12" s="11" t="n">
        <v>27085983188.87</v>
      </c>
    </row>
    <row r="13">
      <c r="A13" s="9" t="inlineStr">
        <is>
          <t>Less: CapEx</t>
        </is>
      </c>
      <c r="G13" s="11" t="n">
        <v>22724387329.35</v>
      </c>
      <c r="H13" s="11" t="n">
        <v>25458832980.13</v>
      </c>
      <c r="I13" s="11" t="n">
        <v>28117814715.38</v>
      </c>
      <c r="J13" s="11" t="n">
        <v>30607757534.18</v>
      </c>
      <c r="K13" s="11" t="n">
        <v>32831883787.65</v>
      </c>
      <c r="L13" s="11" t="n">
        <v>34695978400.85</v>
      </c>
      <c r="M13" s="11" t="n">
        <v>36114644251.83</v>
      </c>
    </row>
    <row r="14">
      <c r="A14" s="9" t="inlineStr">
        <is>
          <t>Less: Change in NWC</t>
        </is>
      </c>
      <c r="G14" s="11" t="n">
        <v>10020459925.37</v>
      </c>
      <c r="H14" s="11" t="n">
        <v>4214042954.96</v>
      </c>
      <c r="I14" s="11" t="n">
        <v>4097745824.88</v>
      </c>
      <c r="J14" s="11" t="n">
        <v>3837240645.4</v>
      </c>
      <c r="K14" s="11" t="n">
        <v>3427591828.98</v>
      </c>
      <c r="L14" s="11" t="n">
        <v>2872748547.75</v>
      </c>
      <c r="M14" s="11" t="n">
        <v>2186300112.81</v>
      </c>
    </row>
    <row r="15">
      <c r="A15" s="12" t="inlineStr">
        <is>
          <t>Unlevered Free Cash Flow</t>
        </is>
      </c>
      <c r="G15" s="13" t="n">
        <v>-2919088884.95</v>
      </c>
      <c r="H15" s="13" t="n">
        <v>3741842351.33</v>
      </c>
      <c r="I15" s="13" t="n">
        <v>4689071273.68</v>
      </c>
      <c r="J15" s="13" t="n">
        <v>5727683584.03</v>
      </c>
      <c r="K15" s="13" t="n">
        <v>6832371854.66</v>
      </c>
      <c r="L15" s="13" t="n">
        <v>7969744702.52</v>
      </c>
      <c r="M15" s="13" t="n">
        <v>9099526215.889999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wuhdiud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-2919088884.95</v>
      </c>
      <c r="C4" s="11" t="n">
        <v>3741842351.33</v>
      </c>
      <c r="D4" s="11" t="n">
        <v>4689071273.68</v>
      </c>
      <c r="E4" s="11" t="n">
        <v>5727683584.03</v>
      </c>
      <c r="F4" s="11" t="n">
        <v>6832371854.66</v>
      </c>
      <c r="G4" s="11" t="n">
        <v>7969744702.52</v>
      </c>
      <c r="H4" s="11" t="n">
        <v>9099526215.889999</v>
      </c>
    </row>
    <row r="5">
      <c r="A5" s="9" t="inlineStr">
        <is>
          <t>Discount Factor</t>
        </is>
      </c>
      <c r="B5" s="14" t="n">
        <v>0.8892</v>
      </c>
      <c r="C5" s="14" t="n">
        <v>0.7907</v>
      </c>
      <c r="D5" s="14" t="n">
        <v>0.7030999999999999</v>
      </c>
      <c r="E5" s="14" t="n">
        <v>0.6252</v>
      </c>
      <c r="F5" s="14" t="n">
        <v>0.5558999999999999</v>
      </c>
      <c r="G5" s="14" t="n">
        <v>0.4943</v>
      </c>
      <c r="H5" s="14" t="n">
        <v>0.4396</v>
      </c>
    </row>
    <row r="6">
      <c r="A6" s="9" t="inlineStr">
        <is>
          <t>PV of Free Cash Flow</t>
        </is>
      </c>
      <c r="B6" s="11" t="n">
        <v>-2595668579.9</v>
      </c>
      <c r="C6" s="11" t="n">
        <v>2958620947.6</v>
      </c>
      <c r="D6" s="11" t="n">
        <v>3296799962.12</v>
      </c>
      <c r="E6" s="11" t="n">
        <v>3580854719.61</v>
      </c>
      <c r="F6" s="11" t="n">
        <v>3798228595.63</v>
      </c>
      <c r="G6" s="11" t="n">
        <v>3939634524.5</v>
      </c>
      <c r="H6" s="11" t="n">
        <v>3999744283.09</v>
      </c>
    </row>
    <row r="9">
      <c r="A9" s="9" t="inlineStr">
        <is>
          <t>Sum of PV of FCFs</t>
        </is>
      </c>
      <c r="B9" s="15" t="n">
        <v>18978214452.64</v>
      </c>
    </row>
    <row r="10">
      <c r="A10" s="9" t="inlineStr">
        <is>
          <t>PV of Terminal Value</t>
        </is>
      </c>
      <c r="B10" s="15" t="n">
        <v>41166220056.4</v>
      </c>
    </row>
    <row r="11">
      <c r="A11" s="16" t="inlineStr">
        <is>
          <t>Implied Enterprise Value</t>
        </is>
      </c>
      <c r="B11" s="17" t="n">
        <v>60144434509.04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60144434509.04</v>
      </c>
    </row>
    <row r="16">
      <c r="A16" s="9" t="inlineStr">
        <is>
          <t>Shares Outstanding</t>
        </is>
      </c>
      <c r="B16" s="18" t="n">
        <v>100000000</v>
      </c>
    </row>
    <row r="17">
      <c r="A17" s="16" t="inlineStr">
        <is>
          <t>Implied Share Price</t>
        </is>
      </c>
      <c r="B17" s="17" t="n">
        <v>601.4400000000001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wuhdiud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0.1046</v>
      </c>
      <c r="C5" s="15" t="n">
        <v>722.0160723372973</v>
      </c>
      <c r="D5" s="15" t="n">
        <v>755.059126241205</v>
      </c>
      <c r="E5" s="15" t="n">
        <v>792.2533175702267</v>
      </c>
      <c r="F5" s="15" t="n">
        <v>834.4333254312891</v>
      </c>
      <c r="G5" s="15" t="n">
        <v>882.6736792494005</v>
      </c>
    </row>
    <row r="6">
      <c r="B6" s="19" t="n">
        <v>0.1146</v>
      </c>
      <c r="C6" s="15" t="n">
        <v>632.6670651103913</v>
      </c>
      <c r="D6" s="15" t="n">
        <v>657.8510284069195</v>
      </c>
      <c r="E6" s="15" t="n">
        <v>685.845701892792</v>
      </c>
      <c r="F6" s="15" t="n">
        <v>717.1494384384607</v>
      </c>
      <c r="G6" s="15" t="n">
        <v>752.3858052034343</v>
      </c>
    </row>
    <row r="7">
      <c r="B7" s="19" t="n">
        <v>0.1246</v>
      </c>
      <c r="C7" s="15" t="n">
        <v>560.1964189179547</v>
      </c>
      <c r="D7" s="15" t="n">
        <v>579.8145698368104</v>
      </c>
      <c r="E7" s="15" t="n">
        <v>601.4024146230211</v>
      </c>
      <c r="F7" s="15" t="n">
        <v>625.2722726001631</v>
      </c>
      <c r="G7" s="15" t="n">
        <v>651.8061772265397</v>
      </c>
    </row>
    <row r="8">
      <c r="B8" s="19" t="n">
        <v>0.1346</v>
      </c>
      <c r="C8" s="15" t="n">
        <v>500.3425259854367</v>
      </c>
      <c r="D8" s="15" t="n">
        <v>515.9027667375382</v>
      </c>
      <c r="E8" s="15" t="n">
        <v>532.8827374852692</v>
      </c>
      <c r="F8" s="15" t="n">
        <v>551.4860323962632</v>
      </c>
      <c r="G8" s="15" t="n">
        <v>571.9571280011323</v>
      </c>
    </row>
    <row r="9">
      <c r="B9" s="19" t="n">
        <v>0.1446</v>
      </c>
      <c r="C9" s="15" t="n">
        <v>450.1607724219761</v>
      </c>
      <c r="D9" s="15" t="n">
        <v>462.6905479772676</v>
      </c>
      <c r="E9" s="15" t="n">
        <v>476.2679636291552</v>
      </c>
      <c r="F9" s="15" t="n">
        <v>491.0301450447331</v>
      </c>
      <c r="G9" s="15" t="n">
        <v>507.1392408230461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2026-03-05T18:16:48Z</dcterms:created>
  <dcterms:modified xmlns:dcterms="http://purl.org/dc/terms/" xmlns:xsi="http://www.w3.org/2001/XMLSchema-instance" xsi:type="dcterms:W3CDTF">2026-03-05T18:16:48Z</dcterms:modified>
</cp:coreProperties>
</file>