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Speed Test Deal - Key Assumptions</t>
        </is>
      </c>
    </row>
    <row r="3">
      <c r="A3" t="inlineStr">
        <is>
          <t>Revenue Cagr</t>
        </is>
      </c>
      <c r="B3" s="2" t="n">
        <v>0.0723</v>
      </c>
    </row>
    <row r="4">
      <c r="A4" t="inlineStr">
        <is>
          <t>Avg Ebitda Margin</t>
        </is>
      </c>
      <c r="B4" s="2" t="n">
        <v>0.1417</v>
      </c>
    </row>
    <row r="5">
      <c r="A5" t="inlineStr">
        <is>
          <t>Tax Rate</t>
        </is>
      </c>
      <c r="B5" s="2" t="n">
        <v>0.25</v>
      </c>
    </row>
    <row r="6">
      <c r="A6" t="inlineStr">
        <is>
          <t>Da Percent Rev</t>
        </is>
      </c>
      <c r="B6" s="2" t="n">
        <v>0.06</v>
      </c>
    </row>
    <row r="7">
      <c r="A7" t="inlineStr">
        <is>
          <t>Cap Ex Percent Rev</t>
        </is>
      </c>
      <c r="B7" s="2" t="n">
        <v>0.08</v>
      </c>
    </row>
    <row r="8">
      <c r="A8" t="inlineStr">
        <is>
          <t>Nwc Percent Rev</t>
        </is>
      </c>
      <c r="B8" s="2" t="n">
        <v>0.1</v>
      </c>
    </row>
    <row r="9">
      <c r="A9" t="inlineStr">
        <is>
          <t>Scenario</t>
        </is>
      </c>
      <c r="B9" s="3" t="inlineStr">
        <is>
          <t>Base Case</t>
        </is>
      </c>
    </row>
    <row r="11">
      <c r="A11" t="inlineStr">
        <is>
          <t>WACC</t>
        </is>
      </c>
      <c r="B11" s="4" t="n">
        <v>0.1246</v>
      </c>
    </row>
    <row r="12">
      <c r="A12" t="inlineStr">
        <is>
          <t>Terminal Growth Rate</t>
        </is>
      </c>
      <c r="B12" s="4" t="n">
        <v>0.025</v>
      </c>
    </row>
    <row r="14">
      <c r="A14" s="5" t="inlineStr">
        <is>
          <t>WACC Calculation Breakdown</t>
        </is>
      </c>
    </row>
    <row r="15">
      <c r="A15" t="inlineStr">
        <is>
          <t>Risk-Free Rate (10Y G-Sec)</t>
        </is>
      </c>
      <c r="B15" s="6" t="n">
        <v>0.07000000000000001</v>
      </c>
    </row>
    <row r="16">
      <c r="A16" t="inlineStr">
        <is>
          <t>Equity Risk Premium</t>
        </is>
      </c>
      <c r="B16" s="6" t="n">
        <v>0.06</v>
      </c>
    </row>
    <row r="17">
      <c r="A17" t="inlineStr">
        <is>
          <t>Beta</t>
        </is>
      </c>
      <c r="B17" s="7" t="n">
        <v>1.1</v>
      </c>
    </row>
    <row r="18">
      <c r="A18" t="inlineStr">
        <is>
          <t>Cost of Equity (CAPM)</t>
        </is>
      </c>
      <c r="B18" s="6" t="n">
        <v>0.136</v>
      </c>
    </row>
    <row r="19">
      <c r="A19" t="inlineStr">
        <is>
          <t>Cost of Debt</t>
        </is>
      </c>
      <c r="B19" s="6" t="n">
        <v>0.09</v>
      </c>
    </row>
    <row r="20">
      <c r="A20" t="inlineStr">
        <is>
          <t>After-Tax Cost of Debt</t>
        </is>
      </c>
      <c r="B20" s="6" t="n">
        <v>0.0675</v>
      </c>
    </row>
    <row r="21">
      <c r="A21" t="inlineStr">
        <is>
          <t>Weight of Equity</t>
        </is>
      </c>
      <c r="B21" s="6" t="n">
        <v>0.8333</v>
      </c>
    </row>
    <row r="22">
      <c r="A22" t="inlineStr">
        <is>
          <t>Weight of Debt</t>
        </is>
      </c>
      <c r="B22" s="6" t="n">
        <v>0.1667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Speed Test Deal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201600000000</v>
      </c>
      <c r="C4" s="10" t="n">
        <v>221760000000</v>
      </c>
      <c r="D4" s="10" t="n">
        <v>239500800000</v>
      </c>
      <c r="E4" s="10" t="n">
        <v>253870848000</v>
      </c>
      <c r="F4" s="10" t="n">
        <v>266564390400</v>
      </c>
      <c r="G4" s="11" t="n">
        <v>285844627508.19</v>
      </c>
      <c r="H4" s="11" t="n">
        <v>304586715669.49</v>
      </c>
      <c r="I4" s="11" t="n">
        <v>322498292064.5</v>
      </c>
      <c r="J4" s="11" t="n">
        <v>339282693521.95</v>
      </c>
      <c r="K4" s="11" t="n">
        <v>354646668715.23</v>
      </c>
      <c r="L4" s="11" t="n">
        <v>368308532830.13</v>
      </c>
      <c r="M4" s="11" t="n">
        <v>380006465893.52</v>
      </c>
    </row>
    <row r="5">
      <c r="A5" s="9" t="inlineStr">
        <is>
          <t xml:space="preserve">  Revenue Growth %</t>
        </is>
      </c>
      <c r="B5" s="10" t="n"/>
      <c r="C5" s="10" t="n">
        <v>10</v>
      </c>
      <c r="D5" s="10" t="n">
        <v>8</v>
      </c>
      <c r="E5" s="10" t="n">
        <v>6</v>
      </c>
      <c r="F5" s="10" t="n">
        <v>5</v>
      </c>
      <c r="G5" s="11" t="n">
        <v>7.23</v>
      </c>
      <c r="H5" s="11" t="n">
        <v>6.56</v>
      </c>
      <c r="I5" s="11" t="n">
        <v>5.88</v>
      </c>
      <c r="J5" s="11" t="n">
        <v>5.2</v>
      </c>
      <c r="K5" s="11" t="n">
        <v>4.53</v>
      </c>
      <c r="L5" s="11" t="n">
        <v>3.85</v>
      </c>
      <c r="M5" s="11" t="n">
        <v>3.18</v>
      </c>
    </row>
    <row r="6">
      <c r="A6" s="9" t="inlineStr">
        <is>
          <t>EBITDA</t>
        </is>
      </c>
      <c r="B6" s="10" t="n">
        <v>27417600000</v>
      </c>
      <c r="C6" s="10" t="n">
        <v>30381120000</v>
      </c>
      <c r="D6" s="10" t="n">
        <v>35709569280</v>
      </c>
      <c r="E6" s="10" t="n">
        <v>35338822041.6</v>
      </c>
      <c r="F6" s="10" t="n">
        <v>39238278266.88</v>
      </c>
      <c r="G6" s="11" t="n">
        <v>40504183717.91</v>
      </c>
      <c r="H6" s="11" t="n">
        <v>43159937610.37</v>
      </c>
      <c r="I6" s="11" t="n">
        <v>45698007985.54</v>
      </c>
      <c r="J6" s="11" t="n">
        <v>48076357672.06</v>
      </c>
      <c r="K6" s="11" t="n">
        <v>50253432956.95</v>
      </c>
      <c r="L6" s="11" t="n">
        <v>52189319102.03</v>
      </c>
      <c r="M6" s="11" t="n">
        <v>53846916217.11</v>
      </c>
    </row>
    <row r="7">
      <c r="A7" s="9" t="inlineStr">
        <is>
          <t xml:space="preserve">  EBITDA Margin %</t>
        </is>
      </c>
      <c r="B7" s="10" t="n">
        <v>13.6</v>
      </c>
      <c r="C7" s="10" t="n">
        <v>13.7</v>
      </c>
      <c r="D7" s="10" t="n">
        <v>14.91</v>
      </c>
      <c r="E7" s="10" t="n">
        <v>13.92</v>
      </c>
      <c r="F7" s="10" t="n">
        <v>14.72</v>
      </c>
      <c r="G7" s="11" t="n">
        <v>14.17</v>
      </c>
      <c r="H7" s="11" t="n">
        <v>14.17</v>
      </c>
      <c r="I7" s="11" t="n">
        <v>14.17</v>
      </c>
      <c r="J7" s="11" t="n">
        <v>14.17</v>
      </c>
      <c r="K7" s="11" t="n">
        <v>14.17</v>
      </c>
      <c r="L7" s="11" t="n">
        <v>14.17</v>
      </c>
      <c r="M7" s="11" t="n">
        <v>14.17</v>
      </c>
    </row>
    <row r="8">
      <c r="A8" s="9" t="inlineStr">
        <is>
          <t>Less: D&amp;A</t>
        </is>
      </c>
      <c r="G8" s="11" t="n">
        <v>17150677650.49</v>
      </c>
      <c r="H8" s="11" t="n">
        <v>18275202940.17</v>
      </c>
      <c r="I8" s="11" t="n">
        <v>19349897523.87</v>
      </c>
      <c r="J8" s="11" t="n">
        <v>20356961611.32</v>
      </c>
      <c r="K8" s="11" t="n">
        <v>21278800122.91</v>
      </c>
      <c r="L8" s="11" t="n">
        <v>22098511969.81</v>
      </c>
      <c r="M8" s="11" t="n">
        <v>22800387953.61</v>
      </c>
    </row>
    <row r="9">
      <c r="A9" s="9" t="inlineStr">
        <is>
          <t>EBIT</t>
        </is>
      </c>
      <c r="G9" s="11" t="n">
        <v>23353506067.42</v>
      </c>
      <c r="H9" s="11" t="n">
        <v>24884734670.2</v>
      </c>
      <c r="I9" s="11" t="n">
        <v>26348110461.67</v>
      </c>
      <c r="J9" s="11" t="n">
        <v>27719396060.74</v>
      </c>
      <c r="K9" s="11" t="n">
        <v>28974632834.03</v>
      </c>
      <c r="L9" s="11" t="n">
        <v>30090807132.22</v>
      </c>
      <c r="M9" s="11" t="n">
        <v>31046528263.5</v>
      </c>
    </row>
    <row r="10">
      <c r="A10" s="9" t="inlineStr">
        <is>
          <t>Less: Taxes</t>
        </is>
      </c>
      <c r="G10" s="11" t="n">
        <v>5838376516.85</v>
      </c>
      <c r="H10" s="11" t="n">
        <v>6221183667.55</v>
      </c>
      <c r="I10" s="11" t="n">
        <v>6587027615.42</v>
      </c>
      <c r="J10" s="11" t="n">
        <v>6929849015.19</v>
      </c>
      <c r="K10" s="11" t="n">
        <v>7243658208.51</v>
      </c>
      <c r="L10" s="11" t="n">
        <v>7522701783.06</v>
      </c>
      <c r="M10" s="11" t="n">
        <v>7761632065.88</v>
      </c>
    </row>
    <row r="11">
      <c r="A11" s="9" t="inlineStr">
        <is>
          <t>EBIAT</t>
        </is>
      </c>
      <c r="G11" s="11" t="n">
        <v>17515129550.56</v>
      </c>
      <c r="H11" s="11" t="n">
        <v>18663551002.65</v>
      </c>
      <c r="I11" s="11" t="n">
        <v>19761082846.25</v>
      </c>
      <c r="J11" s="11" t="n">
        <v>20789547045.56</v>
      </c>
      <c r="K11" s="11" t="n">
        <v>21730974625.53</v>
      </c>
      <c r="L11" s="11" t="n">
        <v>22568105349.17</v>
      </c>
      <c r="M11" s="11" t="n">
        <v>23284896197.63</v>
      </c>
    </row>
    <row r="12">
      <c r="A12" s="9" t="inlineStr">
        <is>
          <t>Plus: D&amp;A</t>
        </is>
      </c>
      <c r="G12" s="11" t="n">
        <v>17150677650.49</v>
      </c>
      <c r="H12" s="11" t="n">
        <v>18275202940.17</v>
      </c>
      <c r="I12" s="11" t="n">
        <v>19349897523.87</v>
      </c>
      <c r="J12" s="11" t="n">
        <v>20356961611.32</v>
      </c>
      <c r="K12" s="11" t="n">
        <v>21278800122.91</v>
      </c>
      <c r="L12" s="11" t="n">
        <v>22098511969.81</v>
      </c>
      <c r="M12" s="11" t="n">
        <v>22800387953.61</v>
      </c>
    </row>
    <row r="13">
      <c r="A13" s="9" t="inlineStr">
        <is>
          <t>Less: CapEx</t>
        </is>
      </c>
      <c r="G13" s="11" t="n">
        <v>22867570200.66</v>
      </c>
      <c r="H13" s="11" t="n">
        <v>24366937253.56</v>
      </c>
      <c r="I13" s="11" t="n">
        <v>25799863365.16</v>
      </c>
      <c r="J13" s="11" t="n">
        <v>27142615481.76</v>
      </c>
      <c r="K13" s="11" t="n">
        <v>28371733497.22</v>
      </c>
      <c r="L13" s="11" t="n">
        <v>29464682626.41</v>
      </c>
      <c r="M13" s="11" t="n">
        <v>30400517271.48</v>
      </c>
    </row>
    <row r="14">
      <c r="A14" s="9" t="inlineStr">
        <is>
          <t>Less: Change in NWC</t>
        </is>
      </c>
      <c r="G14" s="11" t="n">
        <v>8584679419.91</v>
      </c>
      <c r="H14" s="11" t="n">
        <v>2310668403.45</v>
      </c>
      <c r="I14" s="11" t="n">
        <v>2208276541.85</v>
      </c>
      <c r="J14" s="11" t="n">
        <v>2069309768.73</v>
      </c>
      <c r="K14" s="11" t="n">
        <v>1894188722.46</v>
      </c>
      <c r="L14" s="11" t="n">
        <v>1684339411.43</v>
      </c>
      <c r="M14" s="11" t="n">
        <v>1442210925.62</v>
      </c>
    </row>
    <row r="15">
      <c r="A15" s="12" t="inlineStr">
        <is>
          <t>Unlevered Free Cash Flow</t>
        </is>
      </c>
      <c r="G15" s="13" t="n">
        <v>3213557580.49</v>
      </c>
      <c r="H15" s="13" t="n">
        <v>10261148285.81</v>
      </c>
      <c r="I15" s="13" t="n">
        <v>11102840463.11</v>
      </c>
      <c r="J15" s="13" t="n">
        <v>11934583406.39</v>
      </c>
      <c r="K15" s="13" t="n">
        <v>12743852528.76</v>
      </c>
      <c r="L15" s="13" t="n">
        <v>13517595281.14</v>
      </c>
      <c r="M15" s="13" t="n">
        <v>14242555954.13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Speed Test Deal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3213557580.49</v>
      </c>
      <c r="C4" s="11" t="n">
        <v>10261148285.81</v>
      </c>
      <c r="D4" s="11" t="n">
        <v>11102840463.11</v>
      </c>
      <c r="E4" s="11" t="n">
        <v>11934583406.39</v>
      </c>
      <c r="F4" s="11" t="n">
        <v>12743852528.76</v>
      </c>
      <c r="G4" s="11" t="n">
        <v>13517595281.14</v>
      </c>
      <c r="H4" s="11" t="n">
        <v>14242555954.13</v>
      </c>
    </row>
    <row r="5">
      <c r="A5" s="9" t="inlineStr">
        <is>
          <t>Discount Factor</t>
        </is>
      </c>
      <c r="B5" s="14" t="n">
        <v>0.8892</v>
      </c>
      <c r="C5" s="14" t="n">
        <v>0.7907</v>
      </c>
      <c r="D5" s="14" t="n">
        <v>0.7030999999999999</v>
      </c>
      <c r="E5" s="14" t="n">
        <v>0.6252</v>
      </c>
      <c r="F5" s="14" t="n">
        <v>0.5558999999999999</v>
      </c>
      <c r="G5" s="14" t="n">
        <v>0.4943</v>
      </c>
      <c r="H5" s="14" t="n">
        <v>0.4396</v>
      </c>
    </row>
    <row r="6">
      <c r="A6" s="9" t="inlineStr">
        <is>
          <t>PV of Free Cash Flow</t>
        </is>
      </c>
      <c r="B6" s="11" t="n">
        <v>2857511631.24</v>
      </c>
      <c r="C6" s="11" t="n">
        <v>8113342416.47</v>
      </c>
      <c r="D6" s="11" t="n">
        <v>7806203378.4</v>
      </c>
      <c r="E6" s="11" t="n">
        <v>7461307645.64</v>
      </c>
      <c r="F6" s="11" t="n">
        <v>7084518542.44</v>
      </c>
      <c r="G6" s="11" t="n">
        <v>6682069130.89</v>
      </c>
      <c r="H6" s="11" t="n">
        <v>6260389871.13</v>
      </c>
    </row>
    <row r="9">
      <c r="A9" s="9" t="inlineStr">
        <is>
          <t>Sum of PV of FCFs</t>
        </is>
      </c>
      <c r="B9" s="15" t="n">
        <v>46265342616.21</v>
      </c>
    </row>
    <row r="10">
      <c r="A10" s="9" t="inlineStr">
        <is>
          <t>PV of Terminal Value</t>
        </is>
      </c>
      <c r="B10" s="15" t="n">
        <v>64433265937.46</v>
      </c>
    </row>
    <row r="11">
      <c r="A11" s="16" t="inlineStr">
        <is>
          <t>Implied Enterprise Value</t>
        </is>
      </c>
      <c r="B11" s="17" t="n">
        <v>110698608553.67</v>
      </c>
    </row>
    <row r="12">
      <c r="A12" s="9" t="inlineStr">
        <is>
          <t>Less: Total Borrowings</t>
        </is>
      </c>
      <c r="B12" s="15" t="n">
        <v>18000000000</v>
      </c>
    </row>
    <row r="13">
      <c r="A13" s="9" t="inlineStr">
        <is>
          <t>Add: Cash &amp; Equivalents</t>
        </is>
      </c>
      <c r="B13" s="15" t="n">
        <v>3000000000</v>
      </c>
    </row>
    <row r="14">
      <c r="A14" s="9" t="inlineStr">
        <is>
          <t>Net Debt</t>
        </is>
      </c>
      <c r="B14" s="15" t="n">
        <v>15000000000</v>
      </c>
    </row>
    <row r="15">
      <c r="A15" s="16" t="inlineStr">
        <is>
          <t>Implied Equity Value</t>
        </is>
      </c>
      <c r="B15" s="17" t="n">
        <v>95698608553.67</v>
      </c>
    </row>
    <row r="16">
      <c r="A16" s="9" t="inlineStr">
        <is>
          <t>Shares Outstanding</t>
        </is>
      </c>
      <c r="B16" s="18" t="n">
        <v>650000000</v>
      </c>
    </row>
    <row r="17">
      <c r="A17" s="16" t="inlineStr">
        <is>
          <t>Implied Share Price</t>
        </is>
      </c>
      <c r="B17" s="17" t="n">
        <v>147.23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Speed Test Deal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0.1046</v>
      </c>
      <c r="C5" s="15" t="n">
        <v>177.3432551687642</v>
      </c>
      <c r="D5" s="15" t="n">
        <v>185.3000099907042</v>
      </c>
      <c r="E5" s="15" t="n">
        <v>194.2563571269583</v>
      </c>
      <c r="F5" s="15" t="n">
        <v>204.4132869892518</v>
      </c>
      <c r="G5" s="15" t="n">
        <v>216.0295458547484</v>
      </c>
    </row>
    <row r="6">
      <c r="B6" s="19" t="n">
        <v>0.1146</v>
      </c>
      <c r="C6" s="15" t="n">
        <v>155.2773325729918</v>
      </c>
      <c r="D6" s="15" t="n">
        <v>161.341621363548</v>
      </c>
      <c r="E6" s="15" t="n">
        <v>168.0827280994787</v>
      </c>
      <c r="F6" s="15" t="n">
        <v>175.620655962588</v>
      </c>
      <c r="G6" s="15" t="n">
        <v>184.1055596878969</v>
      </c>
    </row>
    <row r="7">
      <c r="B7" s="19" t="n">
        <v>0.1246</v>
      </c>
      <c r="C7" s="15" t="n">
        <v>137.2961435981998</v>
      </c>
      <c r="D7" s="15" t="n">
        <v>142.0201868835177</v>
      </c>
      <c r="E7" s="15" t="n">
        <v>147.218531703506</v>
      </c>
      <c r="F7" s="15" t="n">
        <v>152.966384432584</v>
      </c>
      <c r="G7" s="15" t="n">
        <v>159.3557385823181</v>
      </c>
    </row>
    <row r="8">
      <c r="B8" s="19" t="n">
        <v>0.1346</v>
      </c>
      <c r="C8" s="15" t="n">
        <v>122.3724675751707</v>
      </c>
      <c r="D8" s="15" t="n">
        <v>126.1193676345562</v>
      </c>
      <c r="E8" s="15" t="n">
        <v>130.2081381373163</v>
      </c>
      <c r="F8" s="15" t="n">
        <v>134.6878044816405</v>
      </c>
      <c r="G8" s="15" t="n">
        <v>139.6172365231859</v>
      </c>
    </row>
    <row r="9">
      <c r="B9" s="19" t="n">
        <v>0.1446</v>
      </c>
      <c r="C9" s="15" t="n">
        <v>109.7962787221927</v>
      </c>
      <c r="D9" s="15" t="n">
        <v>112.8134439139246</v>
      </c>
      <c r="E9" s="15" t="n">
        <v>116.0828804427579</v>
      </c>
      <c r="F9" s="15" t="n">
        <v>119.6376081172135</v>
      </c>
      <c r="G9" s="15" t="n">
        <v>123.5166722583166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2026-03-04T16:52:47Z</dcterms:created>
  <dcterms:modified xmlns:dcterms="http://purl.org/dc/terms/" xmlns:xsi="http://www.w3.org/2001/XMLSchema-instance" xsi:type="dcterms:W3CDTF">2026-03-04T16:52:47Z</dcterms:modified>
</cp:coreProperties>
</file>