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₹#,##0.0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i val="1"/>
    </font>
    <font>
      <name val="Arial"/>
      <color rgb="000000FF"/>
    </font>
    <font>
      <name val="Arial"/>
      <b val="1"/>
      <color rgb="00FFFFFF"/>
    </font>
    <font>
      <name val="Arial"/>
      <b val="1"/>
    </font>
    <font>
      <name val="Arial"/>
      <color rgb="00008000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4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2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4" fontId="7" fillId="0" borderId="0" pivotButton="0" quotePrefix="0" xfId="0"/>
    <xf numFmtId="4" fontId="4" fillId="0" borderId="0" pivotButton="0" quotePrefix="0" xfId="0"/>
    <xf numFmtId="0" fontId="6" fillId="0" borderId="1" pivotButton="0" quotePrefix="0" xfId="0"/>
    <xf numFmtId="4" fontId="4" fillId="0" borderId="1" pivotButton="0" quotePrefix="0" xfId="0"/>
    <xf numFmtId="164" fontId="4" fillId="0" borderId="0" pivotButton="0" quotePrefix="0" xfId="0"/>
    <xf numFmtId="165" fontId="4" fillId="0" borderId="0" pivotButton="0" quotePrefix="0" xfId="0"/>
    <xf numFmtId="0" fontId="6" fillId="0" borderId="2" pivotButton="0" quotePrefix="0" xfId="0"/>
    <xf numFmtId="165" fontId="4" fillId="0" borderId="2" pivotButton="0" quotePrefix="0" xfId="0"/>
    <xf numFmtId="3" fontId="4" fillId="0" borderId="0" pivotButton="0" quotePrefix="0" xfId="0"/>
    <xf numFmtId="166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jgiu - Key Assumptions</t>
        </is>
      </c>
    </row>
    <row r="3">
      <c r="A3" t="inlineStr">
        <is>
          <t>Revenue Cagr</t>
        </is>
      </c>
      <c r="B3" s="2" t="n">
        <v>0.06</v>
      </c>
    </row>
    <row r="4">
      <c r="A4" t="inlineStr">
        <is>
          <t>Revenue Cagr Override</t>
        </is>
      </c>
      <c r="B4" s="2" t="n">
        <v>0.06</v>
      </c>
    </row>
    <row r="5">
      <c r="A5" t="inlineStr">
        <is>
          <t>Avg Ebitda Margin</t>
        </is>
      </c>
      <c r="B5" s="2" t="n">
        <v>0.1254</v>
      </c>
    </row>
    <row r="6">
      <c r="A6" t="inlineStr">
        <is>
          <t>Tax Rate</t>
        </is>
      </c>
      <c r="B6" s="2" t="n">
        <v>0.25</v>
      </c>
    </row>
    <row r="7">
      <c r="A7" t="inlineStr">
        <is>
          <t>Da Percent Rev</t>
        </is>
      </c>
      <c r="B7" s="2" t="n">
        <v>0.055</v>
      </c>
    </row>
    <row r="8">
      <c r="A8" t="inlineStr">
        <is>
          <t>Cap Ex Percent Rev</t>
        </is>
      </c>
      <c r="B8" s="2" t="n">
        <v>0.03</v>
      </c>
    </row>
    <row r="9">
      <c r="A9" t="inlineStr">
        <is>
          <t>Nwc Percent Rev</t>
        </is>
      </c>
      <c r="B9" s="2" t="n">
        <v>0.1</v>
      </c>
    </row>
    <row r="10">
      <c r="A10" t="inlineStr">
        <is>
          <t>Scenario</t>
        </is>
      </c>
      <c r="B10" s="3" t="inlineStr">
        <is>
          <t>Base Case</t>
        </is>
      </c>
    </row>
    <row r="12">
      <c r="A12" t="inlineStr">
        <is>
          <t>WACC</t>
        </is>
      </c>
      <c r="B12" s="4" t="n">
        <v>0.115</v>
      </c>
    </row>
    <row r="13">
      <c r="A13" t="inlineStr">
        <is>
          <t>Terminal Growth Rate</t>
        </is>
      </c>
      <c r="B13" s="4" t="n">
        <v>0.025</v>
      </c>
    </row>
    <row r="15">
      <c r="A15" s="5" t="inlineStr">
        <is>
          <t>WACC Calculation Breakdown</t>
        </is>
      </c>
    </row>
    <row r="16">
      <c r="A16" t="inlineStr">
        <is>
          <t>Risk-Free Rate (10Y G-Sec)</t>
        </is>
      </c>
      <c r="B16" s="6" t="n">
        <v>0.07000000000000001</v>
      </c>
    </row>
    <row r="17">
      <c r="A17" t="inlineStr">
        <is>
          <t>Equity Risk Premium</t>
        </is>
      </c>
      <c r="B17" s="6" t="n">
        <v>0.05</v>
      </c>
    </row>
    <row r="18">
      <c r="A18" t="inlineStr">
        <is>
          <t>Beta</t>
        </is>
      </c>
      <c r="B18" s="7" t="n">
        <v>0.9</v>
      </c>
    </row>
    <row r="19">
      <c r="A19" t="inlineStr">
        <is>
          <t>Cost of Equity (CAPM)</t>
        </is>
      </c>
      <c r="B19" s="6" t="n">
        <v>0.115</v>
      </c>
    </row>
    <row r="20">
      <c r="A20" t="inlineStr">
        <is>
          <t>Cost of Debt</t>
        </is>
      </c>
      <c r="B20" s="6" t="n">
        <v>0.09</v>
      </c>
    </row>
    <row r="21">
      <c r="A21" t="inlineStr">
        <is>
          <t>After-Tax Cost of Debt</t>
        </is>
      </c>
      <c r="B21" s="6" t="n">
        <v>0.0675</v>
      </c>
    </row>
    <row r="22">
      <c r="A22" t="inlineStr">
        <is>
          <t>Weight of Equity</t>
        </is>
      </c>
      <c r="B22" s="6" t="n">
        <v>1</v>
      </c>
    </row>
    <row r="23">
      <c r="A23" t="inlineStr">
        <is>
          <t>Weight of Debt</t>
        </is>
      </c>
      <c r="B23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jgiu - Financial Projections (INR)</t>
        </is>
      </c>
    </row>
    <row r="3">
      <c r="A3" s="8" t="inlineStr">
        <is>
          <t>Metric</t>
        </is>
      </c>
      <c r="B3" s="8" t="inlineStr">
        <is>
          <t>FY2021A</t>
        </is>
      </c>
      <c r="C3" s="8" t="inlineStr">
        <is>
          <t>FY2022A</t>
        </is>
      </c>
      <c r="D3" s="8" t="inlineStr">
        <is>
          <t>FY2023A</t>
        </is>
      </c>
      <c r="E3" s="8" t="inlineStr">
        <is>
          <t>FY2024A</t>
        </is>
      </c>
      <c r="F3" s="8" t="inlineStr">
        <is>
          <t>FY2025A</t>
        </is>
      </c>
      <c r="G3" s="8" t="inlineStr">
        <is>
          <t>FY2026E</t>
        </is>
      </c>
      <c r="H3" s="8" t="inlineStr">
        <is>
          <t>FY2027E</t>
        </is>
      </c>
      <c r="I3" s="8" t="inlineStr">
        <is>
          <t>FY2028E</t>
        </is>
      </c>
      <c r="J3" s="8" t="inlineStr">
        <is>
          <t>FY2029E</t>
        </is>
      </c>
      <c r="K3" s="8" t="inlineStr">
        <is>
          <t>FY2030E</t>
        </is>
      </c>
      <c r="L3" s="8" t="inlineStr">
        <is>
          <t>FY2031E</t>
        </is>
      </c>
      <c r="M3" s="8" t="inlineStr">
        <is>
          <t>FY2032E</t>
        </is>
      </c>
    </row>
    <row r="4">
      <c r="A4" s="9" t="inlineStr">
        <is>
          <t>Revenue</t>
        </is>
      </c>
      <c r="B4" s="10" t="n">
        <v>120000000000</v>
      </c>
      <c r="C4" s="10" t="n">
        <v>128400000000</v>
      </c>
      <c r="D4" s="10" t="n">
        <v>136104000000</v>
      </c>
      <c r="E4" s="10" t="n">
        <v>143590000000</v>
      </c>
      <c r="F4" s="10" t="n">
        <v>150050000000</v>
      </c>
      <c r="G4" s="11" t="n">
        <v>159053000000</v>
      </c>
      <c r="H4" s="11" t="n">
        <v>167800915000</v>
      </c>
      <c r="I4" s="11" t="n">
        <v>176190960750</v>
      </c>
      <c r="J4" s="11" t="n">
        <v>184119553983.75</v>
      </c>
      <c r="K4" s="11" t="n">
        <v>191484336143.1</v>
      </c>
      <c r="L4" s="11" t="n">
        <v>198186287908.11</v>
      </c>
      <c r="M4" s="11" t="n">
        <v>204131876545.35</v>
      </c>
    </row>
    <row r="5">
      <c r="A5" s="9" t="inlineStr">
        <is>
          <t xml:space="preserve">  Revenue Growth %</t>
        </is>
      </c>
      <c r="B5" s="10" t="n"/>
      <c r="C5" s="10" t="n">
        <v>7</v>
      </c>
      <c r="D5" s="10" t="n">
        <v>6</v>
      </c>
      <c r="E5" s="10" t="n">
        <v>5.5</v>
      </c>
      <c r="F5" s="10" t="n">
        <v>4.5</v>
      </c>
      <c r="G5" s="11" t="n">
        <v>6</v>
      </c>
      <c r="H5" s="11" t="n">
        <v>5.5</v>
      </c>
      <c r="I5" s="11" t="n">
        <v>5</v>
      </c>
      <c r="J5" s="11" t="n">
        <v>4.5</v>
      </c>
      <c r="K5" s="11" t="n">
        <v>4</v>
      </c>
      <c r="L5" s="11" t="n">
        <v>3.5</v>
      </c>
      <c r="M5" s="11" t="n">
        <v>3</v>
      </c>
    </row>
    <row r="6">
      <c r="A6" s="9" t="inlineStr">
        <is>
          <t>EBITDA</t>
        </is>
      </c>
      <c r="B6" s="10" t="n">
        <v>14400000000</v>
      </c>
      <c r="C6" s="10" t="n">
        <v>15793200000</v>
      </c>
      <c r="D6" s="10" t="n">
        <v>17149104000</v>
      </c>
      <c r="E6" s="10" t="n">
        <v>18379520000</v>
      </c>
      <c r="F6" s="10" t="n">
        <v>19506500000</v>
      </c>
      <c r="G6" s="11" t="n">
        <v>19945246200</v>
      </c>
      <c r="H6" s="11" t="n">
        <v>21042234741</v>
      </c>
      <c r="I6" s="11" t="n">
        <v>22094346478.05</v>
      </c>
      <c r="J6" s="11" t="n">
        <v>23088592069.56</v>
      </c>
      <c r="K6" s="11" t="n">
        <v>24012135752.34</v>
      </c>
      <c r="L6" s="11" t="n">
        <v>24852560503.68</v>
      </c>
      <c r="M6" s="11" t="n">
        <v>25598137318.79</v>
      </c>
    </row>
    <row r="7">
      <c r="A7" s="9" t="inlineStr">
        <is>
          <t xml:space="preserve">  EBITDA Margin %</t>
        </is>
      </c>
      <c r="B7" s="10" t="n">
        <v>12</v>
      </c>
      <c r="C7" s="10" t="n">
        <v>12.3</v>
      </c>
      <c r="D7" s="10" t="n">
        <v>12.6</v>
      </c>
      <c r="E7" s="10" t="n">
        <v>12.8</v>
      </c>
      <c r="F7" s="10" t="n">
        <v>13</v>
      </c>
      <c r="G7" s="11" t="n">
        <v>12.54</v>
      </c>
      <c r="H7" s="11" t="n">
        <v>12.54</v>
      </c>
      <c r="I7" s="11" t="n">
        <v>12.54</v>
      </c>
      <c r="J7" s="11" t="n">
        <v>12.54</v>
      </c>
      <c r="K7" s="11" t="n">
        <v>12.54</v>
      </c>
      <c r="L7" s="11" t="n">
        <v>12.54</v>
      </c>
      <c r="M7" s="11" t="n">
        <v>12.54</v>
      </c>
    </row>
    <row r="8">
      <c r="A8" s="9" t="inlineStr">
        <is>
          <t>Less: D&amp;A</t>
        </is>
      </c>
      <c r="G8" s="11" t="n">
        <v>8747915000</v>
      </c>
      <c r="H8" s="11" t="n">
        <v>9229050325</v>
      </c>
      <c r="I8" s="11" t="n">
        <v>9690502841.25</v>
      </c>
      <c r="J8" s="11" t="n">
        <v>10126575469.11</v>
      </c>
      <c r="K8" s="11" t="n">
        <v>10531638487.87</v>
      </c>
      <c r="L8" s="11" t="n">
        <v>10900245834.95</v>
      </c>
      <c r="M8" s="11" t="n">
        <v>11227253209.99</v>
      </c>
    </row>
    <row r="9">
      <c r="A9" s="9" t="inlineStr">
        <is>
          <t>EBIT</t>
        </is>
      </c>
      <c r="G9" s="11" t="n">
        <v>11197331200</v>
      </c>
      <c r="H9" s="11" t="n">
        <v>11813184416</v>
      </c>
      <c r="I9" s="11" t="n">
        <v>12403843636.8</v>
      </c>
      <c r="J9" s="11" t="n">
        <v>12962016600.46</v>
      </c>
      <c r="K9" s="11" t="n">
        <v>13480497264.47</v>
      </c>
      <c r="L9" s="11" t="n">
        <v>13952314668.73</v>
      </c>
      <c r="M9" s="11" t="n">
        <v>14370884108.79</v>
      </c>
    </row>
    <row r="10">
      <c r="A10" s="9" t="inlineStr">
        <is>
          <t>Less: Taxes</t>
        </is>
      </c>
      <c r="G10" s="11" t="n">
        <v>2799332800</v>
      </c>
      <c r="H10" s="11" t="n">
        <v>2953296104</v>
      </c>
      <c r="I10" s="11" t="n">
        <v>3100960909.2</v>
      </c>
      <c r="J10" s="11" t="n">
        <v>3240504150.11</v>
      </c>
      <c r="K10" s="11" t="n">
        <v>3370124316.12</v>
      </c>
      <c r="L10" s="11" t="n">
        <v>3488078667.18</v>
      </c>
      <c r="M10" s="11" t="n">
        <v>3592721027.2</v>
      </c>
    </row>
    <row r="11">
      <c r="A11" s="9" t="inlineStr">
        <is>
          <t>EBIAT</t>
        </is>
      </c>
      <c r="G11" s="11" t="n">
        <v>8397998400</v>
      </c>
      <c r="H11" s="11" t="n">
        <v>8859888312</v>
      </c>
      <c r="I11" s="11" t="n">
        <v>9302882727.6</v>
      </c>
      <c r="J11" s="11" t="n">
        <v>9721512450.34</v>
      </c>
      <c r="K11" s="11" t="n">
        <v>10110372948.36</v>
      </c>
      <c r="L11" s="11" t="n">
        <v>10464236001.55</v>
      </c>
      <c r="M11" s="11" t="n">
        <v>10778163081.59</v>
      </c>
    </row>
    <row r="12">
      <c r="A12" s="9" t="inlineStr">
        <is>
          <t>Plus: D&amp;A</t>
        </is>
      </c>
      <c r="G12" s="11" t="n">
        <v>8747915000</v>
      </c>
      <c r="H12" s="11" t="n">
        <v>9229050325</v>
      </c>
      <c r="I12" s="11" t="n">
        <v>9690502841.25</v>
      </c>
      <c r="J12" s="11" t="n">
        <v>10126575469.11</v>
      </c>
      <c r="K12" s="11" t="n">
        <v>10531638487.87</v>
      </c>
      <c r="L12" s="11" t="n">
        <v>10900245834.95</v>
      </c>
      <c r="M12" s="11" t="n">
        <v>11227253209.99</v>
      </c>
    </row>
    <row r="13">
      <c r="A13" s="9" t="inlineStr">
        <is>
          <t>Less: CapEx</t>
        </is>
      </c>
      <c r="G13" s="11" t="n">
        <v>4771590000</v>
      </c>
      <c r="H13" s="11" t="n">
        <v>5034027450</v>
      </c>
      <c r="I13" s="11" t="n">
        <v>5285728822.5</v>
      </c>
      <c r="J13" s="11" t="n">
        <v>5523586619.51</v>
      </c>
      <c r="K13" s="11" t="n">
        <v>5744530084.29</v>
      </c>
      <c r="L13" s="11" t="n">
        <v>5945588637.24</v>
      </c>
      <c r="M13" s="11" t="n">
        <v>6123956296.36</v>
      </c>
    </row>
    <row r="14">
      <c r="A14" s="9" t="inlineStr">
        <is>
          <t>Less: Change in NWC</t>
        </is>
      </c>
      <c r="G14" s="11" t="n">
        <v>4604273972.6</v>
      </c>
      <c r="H14" s="11" t="n">
        <v>1078510068.49</v>
      </c>
      <c r="I14" s="11" t="n">
        <v>1034389202.05</v>
      </c>
      <c r="J14" s="11" t="n">
        <v>977497795.9400001</v>
      </c>
      <c r="K14" s="11" t="n">
        <v>907986841.5599999</v>
      </c>
      <c r="L14" s="11" t="n">
        <v>826268025.8200001</v>
      </c>
      <c r="M14" s="11" t="n">
        <v>733017777.1900001</v>
      </c>
    </row>
    <row r="15">
      <c r="A15" s="12" t="inlineStr">
        <is>
          <t>Unlevered Free Cash Flow</t>
        </is>
      </c>
      <c r="G15" s="13" t="n">
        <v>7770049427.4</v>
      </c>
      <c r="H15" s="13" t="n">
        <v>11976401118.51</v>
      </c>
      <c r="I15" s="13" t="n">
        <v>12673267544.3</v>
      </c>
      <c r="J15" s="13" t="n">
        <v>13347003503.99</v>
      </c>
      <c r="K15" s="13" t="n">
        <v>13989494510.37</v>
      </c>
      <c r="L15" s="13" t="n">
        <v>14592625173.43</v>
      </c>
      <c r="M15" s="13" t="n">
        <v>15148442218.03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jgiu - DCF Valuation (INR)</t>
        </is>
      </c>
    </row>
    <row r="3">
      <c r="A3" s="8" t="inlineStr">
        <is>
          <t>Metric</t>
        </is>
      </c>
      <c r="B3" s="8" t="inlineStr">
        <is>
          <t>FY2026E</t>
        </is>
      </c>
      <c r="C3" s="8" t="inlineStr">
        <is>
          <t>FY2027E</t>
        </is>
      </c>
      <c r="D3" s="8" t="inlineStr">
        <is>
          <t>FY2028E</t>
        </is>
      </c>
      <c r="E3" s="8" t="inlineStr">
        <is>
          <t>FY2029E</t>
        </is>
      </c>
      <c r="F3" s="8" t="inlineStr">
        <is>
          <t>FY2030E</t>
        </is>
      </c>
      <c r="G3" s="8" t="inlineStr">
        <is>
          <t>FY2031E</t>
        </is>
      </c>
      <c r="H3" s="8" t="inlineStr">
        <is>
          <t>FY2032E</t>
        </is>
      </c>
    </row>
    <row r="4">
      <c r="A4" s="9" t="inlineStr">
        <is>
          <t>Unlevered Free Cash Flow</t>
        </is>
      </c>
      <c r="B4" s="11" t="n">
        <v>7770049427.4</v>
      </c>
      <c r="C4" s="11" t="n">
        <v>11976401118.51</v>
      </c>
      <c r="D4" s="11" t="n">
        <v>12673267544.3</v>
      </c>
      <c r="E4" s="11" t="n">
        <v>13347003503.99</v>
      </c>
      <c r="F4" s="11" t="n">
        <v>13989494510.37</v>
      </c>
      <c r="G4" s="11" t="n">
        <v>14592625173.43</v>
      </c>
      <c r="H4" s="11" t="n">
        <v>15148442218.03</v>
      </c>
    </row>
    <row r="5">
      <c r="A5" s="9" t="inlineStr">
        <is>
          <t>Discount Factor</t>
        </is>
      </c>
      <c r="B5" s="14" t="n">
        <v>0.8969</v>
      </c>
      <c r="C5" s="14" t="n">
        <v>0.8044</v>
      </c>
      <c r="D5" s="14" t="n">
        <v>0.7214</v>
      </c>
      <c r="E5" s="14" t="n">
        <v>0.647</v>
      </c>
      <c r="F5" s="14" t="n">
        <v>0.5803</v>
      </c>
      <c r="G5" s="14" t="n">
        <v>0.5204</v>
      </c>
      <c r="H5" s="14" t="n">
        <v>0.4667</v>
      </c>
    </row>
    <row r="6">
      <c r="A6" s="9" t="inlineStr">
        <is>
          <t>PV of Free Cash Flow</t>
        </is>
      </c>
      <c r="B6" s="11" t="n">
        <v>6968654194.98</v>
      </c>
      <c r="C6" s="11" t="n">
        <v>9633333562.719999</v>
      </c>
      <c r="D6" s="11" t="n">
        <v>9142479625.620001</v>
      </c>
      <c r="E6" s="11" t="n">
        <v>8635436698.32</v>
      </c>
      <c r="F6" s="11" t="n">
        <v>8117600708.43</v>
      </c>
      <c r="G6" s="11" t="n">
        <v>7594238339.2</v>
      </c>
      <c r="H6" s="11" t="n">
        <v>7070398677.82</v>
      </c>
    </row>
    <row r="9">
      <c r="A9" s="9" t="inlineStr">
        <is>
          <t>Sum of PV of FCFs</t>
        </is>
      </c>
      <c r="B9" s="15" t="n">
        <v>57162141807.07</v>
      </c>
    </row>
    <row r="10">
      <c r="A10" s="9" t="inlineStr">
        <is>
          <t>PV of Terminal Value</t>
        </is>
      </c>
      <c r="B10" s="15" t="n">
        <v>80516915919.25999</v>
      </c>
    </row>
    <row r="11">
      <c r="A11" s="16" t="inlineStr">
        <is>
          <t>Implied Enterprise Value</t>
        </is>
      </c>
      <c r="B11" s="17" t="n">
        <v>137679057726.33</v>
      </c>
    </row>
    <row r="12">
      <c r="A12" s="9" t="inlineStr">
        <is>
          <t>Less: Total Borrowings</t>
        </is>
      </c>
      <c r="B12" s="15" t="n">
        <v>0</v>
      </c>
    </row>
    <row r="13">
      <c r="A13" s="9" t="inlineStr">
        <is>
          <t>Add: Cash &amp; Equivalents</t>
        </is>
      </c>
      <c r="B13" s="15" t="n">
        <v>0</v>
      </c>
    </row>
    <row r="14">
      <c r="A14" s="9" t="inlineStr">
        <is>
          <t>Net Debt</t>
        </is>
      </c>
      <c r="B14" s="15" t="n">
        <v>0</v>
      </c>
    </row>
    <row r="15">
      <c r="A15" s="16" t="inlineStr">
        <is>
          <t>Implied Equity Value</t>
        </is>
      </c>
      <c r="B15" s="17" t="n">
        <v>137679057726.33</v>
      </c>
    </row>
    <row r="16">
      <c r="A16" s="9" t="inlineStr">
        <is>
          <t>Shares Outstanding</t>
        </is>
      </c>
      <c r="B16" s="18" t="n">
        <v>150000000</v>
      </c>
    </row>
    <row r="17">
      <c r="A17" s="16" t="inlineStr">
        <is>
          <t>Implied Share Price</t>
        </is>
      </c>
      <c r="B17" s="17" t="n">
        <v>917.86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jgiu - Implied Share Price Sensitivity (INR)</t>
        </is>
      </c>
    </row>
    <row r="3">
      <c r="A3" s="9" t="inlineStr">
        <is>
          <t>Sensitivity: WACC vs. Terminal Growth Rate</t>
        </is>
      </c>
    </row>
    <row r="4">
      <c r="B4" s="15">
        <f>'Valuation'!B17</f>
        <v/>
      </c>
      <c r="C4" s="19" t="n">
        <v>0.015</v>
      </c>
      <c r="D4" s="19" t="n">
        <v>0.02</v>
      </c>
      <c r="E4" s="19" t="n">
        <v>0.025</v>
      </c>
      <c r="F4" s="19" t="n">
        <v>0.03</v>
      </c>
      <c r="G4" s="19" t="n">
        <v>0.035</v>
      </c>
    </row>
    <row r="5">
      <c r="B5" s="19" t="n">
        <v>0.095</v>
      </c>
      <c r="C5" s="15" t="n">
        <v>1088.140545251146</v>
      </c>
      <c r="D5" s="15" t="n">
        <v>1136.962004321751</v>
      </c>
      <c r="E5" s="15" t="n">
        <v>1192.757957545301</v>
      </c>
      <c r="F5" s="15" t="n">
        <v>1257.137903572473</v>
      </c>
      <c r="G5" s="15" t="n">
        <v>1332.247840604174</v>
      </c>
    </row>
    <row r="6">
      <c r="B6" s="19" t="n">
        <v>0.105</v>
      </c>
      <c r="C6" s="15" t="n">
        <v>961.0177332989318</v>
      </c>
      <c r="D6" s="15" t="n">
        <v>997.2763821718144</v>
      </c>
      <c r="E6" s="15" t="n">
        <v>1038.067362153807</v>
      </c>
      <c r="F6" s="15" t="n">
        <v>1084.297139466732</v>
      </c>
      <c r="G6" s="15" t="n">
        <v>1137.131170681504</v>
      </c>
    </row>
    <row r="7">
      <c r="B7" s="19" t="n">
        <v>0.115</v>
      </c>
      <c r="C7" s="15" t="n">
        <v>859.5112559127299</v>
      </c>
      <c r="D7" s="15" t="n">
        <v>887.1726402136605</v>
      </c>
      <c r="E7" s="15" t="n">
        <v>917.907511659139</v>
      </c>
      <c r="F7" s="15" t="n">
        <v>952.2582503334974</v>
      </c>
      <c r="G7" s="15" t="n">
        <v>990.9028313421504</v>
      </c>
    </row>
    <row r="8">
      <c r="B8" s="19" t="n">
        <v>0.125</v>
      </c>
      <c r="C8" s="15" t="n">
        <v>776.6260644915267</v>
      </c>
      <c r="D8" s="15" t="n">
        <v>798.1910713727102</v>
      </c>
      <c r="E8" s="15" t="n">
        <v>821.9125789420119</v>
      </c>
      <c r="F8" s="15" t="n">
        <v>848.1310873080824</v>
      </c>
      <c r="G8" s="15" t="n">
        <v>877.2627632703829</v>
      </c>
    </row>
    <row r="9">
      <c r="B9" s="19" t="n">
        <v>0.135</v>
      </c>
      <c r="C9" s="15" t="n">
        <v>707.6993034187778</v>
      </c>
      <c r="D9" s="15" t="n">
        <v>724.8149166662166</v>
      </c>
      <c r="E9" s="15" t="n">
        <v>743.4864947543317</v>
      </c>
      <c r="F9" s="15" t="n">
        <v>763.9363183746482</v>
      </c>
      <c r="G9" s="15" t="n">
        <v>786.4311243569961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2026-03-10T18:02:43Z</dcterms:created>
  <dcterms:modified xmlns:dcterms="http://purl.org/dc/terms/" xmlns:xsi="http://www.w3.org/2001/XMLSchema-instance" xsi:type="dcterms:W3CDTF">2026-03-10T18:02:43Z</dcterms:modified>
</cp:coreProperties>
</file>