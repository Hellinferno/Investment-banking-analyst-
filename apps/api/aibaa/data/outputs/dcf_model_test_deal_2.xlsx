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Test Deal 2 - Key Assumptions</t>
        </is>
      </c>
    </row>
    <row r="3">
      <c r="A3" t="inlineStr">
        <is>
          <t>Revenue Cagr</t>
        </is>
      </c>
      <c r="B3" s="2" t="n">
        <v>0.0723</v>
      </c>
    </row>
    <row r="4">
      <c r="A4" t="inlineStr">
        <is>
          <t>Avg Ebitda Margin</t>
        </is>
      </c>
      <c r="B4" s="2" t="n">
        <v>0.1398</v>
      </c>
    </row>
    <row r="5">
      <c r="A5" t="inlineStr">
        <is>
          <t>Tax Rate</t>
        </is>
      </c>
      <c r="B5" s="2" t="n">
        <v>0.25</v>
      </c>
    </row>
    <row r="6">
      <c r="A6" t="inlineStr">
        <is>
          <t>Da Percent Rev</t>
        </is>
      </c>
      <c r="B6" s="2" t="n">
        <v>0.06</v>
      </c>
    </row>
    <row r="7">
      <c r="A7" t="inlineStr">
        <is>
          <t>Cap Ex Percent Rev</t>
        </is>
      </c>
      <c r="B7" s="2" t="n">
        <v>0.08</v>
      </c>
    </row>
    <row r="8">
      <c r="A8" t="inlineStr">
        <is>
          <t>Nwc Percent Rev</t>
        </is>
      </c>
      <c r="B8" s="2" t="n">
        <v>0.1</v>
      </c>
    </row>
    <row r="9">
      <c r="A9" t="inlineStr">
        <is>
          <t>Scenario</t>
        </is>
      </c>
      <c r="B9" s="3" t="inlineStr">
        <is>
          <t>Base Case</t>
        </is>
      </c>
    </row>
    <row r="11">
      <c r="A11" t="inlineStr">
        <is>
          <t>WACC</t>
        </is>
      </c>
      <c r="B11" s="4" t="n">
        <v>0.1246</v>
      </c>
    </row>
    <row r="12">
      <c r="A12" t="inlineStr">
        <is>
          <t>Terminal Growth Rate</t>
        </is>
      </c>
      <c r="B12" s="4" t="n">
        <v>0.025</v>
      </c>
    </row>
    <row r="14">
      <c r="A14" s="5" t="inlineStr">
        <is>
          <t>WACC Calculation Breakdown</t>
        </is>
      </c>
    </row>
    <row r="15">
      <c r="A15" t="inlineStr">
        <is>
          <t>Risk-Free Rate (10Y G-Sec)</t>
        </is>
      </c>
      <c r="B15" s="6" t="n">
        <v>0.07000000000000001</v>
      </c>
    </row>
    <row r="16">
      <c r="A16" t="inlineStr">
        <is>
          <t>Equity Risk Premium</t>
        </is>
      </c>
      <c r="B16" s="6" t="n">
        <v>0.06</v>
      </c>
    </row>
    <row r="17">
      <c r="A17" t="inlineStr">
        <is>
          <t>Beta</t>
        </is>
      </c>
      <c r="B17" s="7" t="n">
        <v>1.1</v>
      </c>
    </row>
    <row r="18">
      <c r="A18" t="inlineStr">
        <is>
          <t>Cost of Equity (CAPM)</t>
        </is>
      </c>
      <c r="B18" s="6" t="n">
        <v>0.136</v>
      </c>
    </row>
    <row r="19">
      <c r="A19" t="inlineStr">
        <is>
          <t>Cost of Debt</t>
        </is>
      </c>
      <c r="B19" s="6" t="n">
        <v>0.09</v>
      </c>
    </row>
    <row r="20">
      <c r="A20" t="inlineStr">
        <is>
          <t>After-Tax Cost of Debt</t>
        </is>
      </c>
      <c r="B20" s="6" t="n">
        <v>0.0675</v>
      </c>
    </row>
    <row r="21">
      <c r="A21" t="inlineStr">
        <is>
          <t>Weight of Equity</t>
        </is>
      </c>
      <c r="B21" s="6" t="n">
        <v>0.8333</v>
      </c>
    </row>
    <row r="22">
      <c r="A22" t="inlineStr">
        <is>
          <t>Weight of Debt</t>
        </is>
      </c>
      <c r="B22" s="6" t="n">
        <v>0.1667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Test Deal 2 -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201600000000</v>
      </c>
      <c r="C4" s="10" t="n">
        <v>221760000000</v>
      </c>
      <c r="D4" s="10" t="n">
        <v>239500800000</v>
      </c>
      <c r="E4" s="10" t="n">
        <v>253870848000</v>
      </c>
      <c r="F4" s="10" t="n">
        <v>266564390400</v>
      </c>
      <c r="G4" s="11" t="n">
        <v>285844627508.19</v>
      </c>
      <c r="H4" s="11" t="n">
        <v>304586715669.49</v>
      </c>
      <c r="I4" s="11" t="n">
        <v>322498292064.5</v>
      </c>
      <c r="J4" s="11" t="n">
        <v>339282693521.95</v>
      </c>
      <c r="K4" s="11" t="n">
        <v>354646668715.23</v>
      </c>
      <c r="L4" s="11" t="n">
        <v>368308532830.13</v>
      </c>
      <c r="M4" s="11" t="n">
        <v>380006465893.52</v>
      </c>
    </row>
    <row r="5">
      <c r="A5" s="9" t="inlineStr">
        <is>
          <t xml:space="preserve">  Revenue Growth %</t>
        </is>
      </c>
      <c r="B5" s="10" t="n"/>
      <c r="C5" s="10" t="n">
        <v>10</v>
      </c>
      <c r="D5" s="10" t="n">
        <v>8</v>
      </c>
      <c r="E5" s="10" t="n">
        <v>6</v>
      </c>
      <c r="F5" s="10" t="n">
        <v>5</v>
      </c>
      <c r="G5" s="11" t="n">
        <v>7.23</v>
      </c>
      <c r="H5" s="11" t="n">
        <v>6.56</v>
      </c>
      <c r="I5" s="11" t="n">
        <v>5.88</v>
      </c>
      <c r="J5" s="11" t="n">
        <v>5.2</v>
      </c>
      <c r="K5" s="11" t="n">
        <v>4.53</v>
      </c>
      <c r="L5" s="11" t="n">
        <v>3.85</v>
      </c>
      <c r="M5" s="11" t="n">
        <v>3.18</v>
      </c>
    </row>
    <row r="6">
      <c r="A6" s="9" t="inlineStr">
        <is>
          <t>EBITDA</t>
        </is>
      </c>
      <c r="B6" s="10" t="n">
        <v>29453760000</v>
      </c>
      <c r="C6" s="10" t="n">
        <v>29316672000</v>
      </c>
      <c r="D6" s="10" t="n">
        <v>33314561280</v>
      </c>
      <c r="E6" s="10" t="n">
        <v>33942532377.6</v>
      </c>
      <c r="F6" s="10" t="n">
        <v>39478186218.24</v>
      </c>
      <c r="G6" s="11" t="n">
        <v>39972512710.74</v>
      </c>
      <c r="H6" s="11" t="n">
        <v>42593406319.22</v>
      </c>
      <c r="I6" s="11" t="n">
        <v>45098161162.3</v>
      </c>
      <c r="J6" s="11" t="n">
        <v>47445291862.11</v>
      </c>
      <c r="K6" s="11" t="n">
        <v>49593790153.14</v>
      </c>
      <c r="L6" s="11" t="n">
        <v>51504265230.96</v>
      </c>
      <c r="M6" s="11" t="n">
        <v>53140104190.55</v>
      </c>
    </row>
    <row r="7">
      <c r="A7" s="9" t="inlineStr">
        <is>
          <t xml:space="preserve">  EBITDA Margin %</t>
        </is>
      </c>
      <c r="B7" s="10" t="n">
        <v>14.61</v>
      </c>
      <c r="C7" s="10" t="n">
        <v>13.22</v>
      </c>
      <c r="D7" s="10" t="n">
        <v>13.91</v>
      </c>
      <c r="E7" s="10" t="n">
        <v>13.37</v>
      </c>
      <c r="F7" s="10" t="n">
        <v>14.81</v>
      </c>
      <c r="G7" s="11" t="n">
        <v>13.98</v>
      </c>
      <c r="H7" s="11" t="n">
        <v>13.98</v>
      </c>
      <c r="I7" s="11" t="n">
        <v>13.98</v>
      </c>
      <c r="J7" s="11" t="n">
        <v>13.98</v>
      </c>
      <c r="K7" s="11" t="n">
        <v>13.98</v>
      </c>
      <c r="L7" s="11" t="n">
        <v>13.98</v>
      </c>
      <c r="M7" s="11" t="n">
        <v>13.98</v>
      </c>
    </row>
    <row r="8">
      <c r="A8" s="9" t="inlineStr">
        <is>
          <t>Less: D&amp;A</t>
        </is>
      </c>
      <c r="G8" s="11" t="n">
        <v>17150677650.49</v>
      </c>
      <c r="H8" s="11" t="n">
        <v>18275202940.17</v>
      </c>
      <c r="I8" s="11" t="n">
        <v>19349897523.87</v>
      </c>
      <c r="J8" s="11" t="n">
        <v>20356961611.32</v>
      </c>
      <c r="K8" s="11" t="n">
        <v>21278800122.91</v>
      </c>
      <c r="L8" s="11" t="n">
        <v>22098511969.81</v>
      </c>
      <c r="M8" s="11" t="n">
        <v>22800387953.61</v>
      </c>
    </row>
    <row r="9">
      <c r="A9" s="9" t="inlineStr">
        <is>
          <t>EBIT</t>
        </is>
      </c>
      <c r="G9" s="11" t="n">
        <v>22821835060.25</v>
      </c>
      <c r="H9" s="11" t="n">
        <v>24318203379.05</v>
      </c>
      <c r="I9" s="11" t="n">
        <v>25748263638.43</v>
      </c>
      <c r="J9" s="11" t="n">
        <v>27088330250.79</v>
      </c>
      <c r="K9" s="11" t="n">
        <v>28314990030.22</v>
      </c>
      <c r="L9" s="11" t="n">
        <v>29405753261.16</v>
      </c>
      <c r="M9" s="11" t="n">
        <v>30339716236.94</v>
      </c>
    </row>
    <row r="10">
      <c r="A10" s="9" t="inlineStr">
        <is>
          <t>Less: Taxes</t>
        </is>
      </c>
      <c r="G10" s="11" t="n">
        <v>5705458765.06</v>
      </c>
      <c r="H10" s="11" t="n">
        <v>6079550844.76</v>
      </c>
      <c r="I10" s="11" t="n">
        <v>6437065909.61</v>
      </c>
      <c r="J10" s="11" t="n">
        <v>6772082562.7</v>
      </c>
      <c r="K10" s="11" t="n">
        <v>7078747507.56</v>
      </c>
      <c r="L10" s="11" t="n">
        <v>7351438315.29</v>
      </c>
      <c r="M10" s="11" t="n">
        <v>7584929059.23</v>
      </c>
    </row>
    <row r="11">
      <c r="A11" s="9" t="inlineStr">
        <is>
          <t>EBIAT</t>
        </is>
      </c>
      <c r="G11" s="11" t="n">
        <v>17116376295.19</v>
      </c>
      <c r="H11" s="11" t="n">
        <v>18238652534.29</v>
      </c>
      <c r="I11" s="11" t="n">
        <v>19311197728.82</v>
      </c>
      <c r="J11" s="11" t="n">
        <v>20316247688.09</v>
      </c>
      <c r="K11" s="11" t="n">
        <v>21236242522.67</v>
      </c>
      <c r="L11" s="11" t="n">
        <v>22054314945.87</v>
      </c>
      <c r="M11" s="11" t="n">
        <v>22754787177.7</v>
      </c>
    </row>
    <row r="12">
      <c r="A12" s="9" t="inlineStr">
        <is>
          <t>Plus: D&amp;A</t>
        </is>
      </c>
      <c r="G12" s="11" t="n">
        <v>17150677650.49</v>
      </c>
      <c r="H12" s="11" t="n">
        <v>18275202940.17</v>
      </c>
      <c r="I12" s="11" t="n">
        <v>19349897523.87</v>
      </c>
      <c r="J12" s="11" t="n">
        <v>20356961611.32</v>
      </c>
      <c r="K12" s="11" t="n">
        <v>21278800122.91</v>
      </c>
      <c r="L12" s="11" t="n">
        <v>22098511969.81</v>
      </c>
      <c r="M12" s="11" t="n">
        <v>22800387953.61</v>
      </c>
    </row>
    <row r="13">
      <c r="A13" s="9" t="inlineStr">
        <is>
          <t>Less: CapEx</t>
        </is>
      </c>
      <c r="G13" s="11" t="n">
        <v>22867570200.66</v>
      </c>
      <c r="H13" s="11" t="n">
        <v>24366937253.56</v>
      </c>
      <c r="I13" s="11" t="n">
        <v>25799863365.16</v>
      </c>
      <c r="J13" s="11" t="n">
        <v>27142615481.76</v>
      </c>
      <c r="K13" s="11" t="n">
        <v>28371733497.22</v>
      </c>
      <c r="L13" s="11" t="n">
        <v>29464682626.41</v>
      </c>
      <c r="M13" s="11" t="n">
        <v>30400517271.48</v>
      </c>
    </row>
    <row r="14">
      <c r="A14" s="9" t="inlineStr">
        <is>
          <t>Less: Change in NWC</t>
        </is>
      </c>
      <c r="G14" s="11" t="n">
        <v>8584679419.91</v>
      </c>
      <c r="H14" s="11" t="n">
        <v>2310668403.45</v>
      </c>
      <c r="I14" s="11" t="n">
        <v>2208276541.85</v>
      </c>
      <c r="J14" s="11" t="n">
        <v>2069309768.73</v>
      </c>
      <c r="K14" s="11" t="n">
        <v>1894188722.46</v>
      </c>
      <c r="L14" s="11" t="n">
        <v>1684339411.43</v>
      </c>
      <c r="M14" s="11" t="n">
        <v>1442210925.62</v>
      </c>
    </row>
    <row r="15">
      <c r="A15" s="12" t="inlineStr">
        <is>
          <t>Unlevered Free Cash Flow</t>
        </is>
      </c>
      <c r="G15" s="13" t="n">
        <v>2814804325.11</v>
      </c>
      <c r="H15" s="13" t="n">
        <v>9836249817.450001</v>
      </c>
      <c r="I15" s="13" t="n">
        <v>10652955345.68</v>
      </c>
      <c r="J15" s="13" t="n">
        <v>11461284048.93</v>
      </c>
      <c r="K15" s="13" t="n">
        <v>12249120425.9</v>
      </c>
      <c r="L15" s="13" t="n">
        <v>13003804877.84</v>
      </c>
      <c r="M15" s="13" t="n">
        <v>13712446934.21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Test Deal 2 -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2814804325.11</v>
      </c>
      <c r="C4" s="11" t="n">
        <v>9836249817.450001</v>
      </c>
      <c r="D4" s="11" t="n">
        <v>10652955345.68</v>
      </c>
      <c r="E4" s="11" t="n">
        <v>11461284048.93</v>
      </c>
      <c r="F4" s="11" t="n">
        <v>12249120425.9</v>
      </c>
      <c r="G4" s="11" t="n">
        <v>13003804877.84</v>
      </c>
      <c r="H4" s="11" t="n">
        <v>13712446934.21</v>
      </c>
    </row>
    <row r="5">
      <c r="A5" s="9" t="inlineStr">
        <is>
          <t>Discount Factor</t>
        </is>
      </c>
      <c r="B5" s="14" t="n">
        <v>0.8892</v>
      </c>
      <c r="C5" s="14" t="n">
        <v>0.7907</v>
      </c>
      <c r="D5" s="14" t="n">
        <v>0.7030999999999999</v>
      </c>
      <c r="E5" s="14" t="n">
        <v>0.6252</v>
      </c>
      <c r="F5" s="14" t="n">
        <v>0.5558999999999999</v>
      </c>
      <c r="G5" s="14" t="n">
        <v>0.4943</v>
      </c>
      <c r="H5" s="14" t="n">
        <v>0.4396</v>
      </c>
    </row>
    <row r="6">
      <c r="A6" s="9" t="inlineStr">
        <is>
          <t>PV of Free Cash Flow</t>
        </is>
      </c>
      <c r="B6" s="11" t="n">
        <v>2502938222.58</v>
      </c>
      <c r="C6" s="11" t="n">
        <v>7777381306.66</v>
      </c>
      <c r="D6" s="11" t="n">
        <v>7489897408.3</v>
      </c>
      <c r="E6" s="11" t="n">
        <v>7165408577</v>
      </c>
      <c r="F6" s="11" t="n">
        <v>6809488778.22</v>
      </c>
      <c r="G6" s="11" t="n">
        <v>6428090303.86</v>
      </c>
      <c r="H6" s="11" t="n">
        <v>6027377682.2</v>
      </c>
    </row>
    <row r="9">
      <c r="A9" s="9" t="inlineStr">
        <is>
          <t>Sum of PV of FCFs</t>
        </is>
      </c>
      <c r="B9" s="15" t="n">
        <v>44200582278.82</v>
      </c>
    </row>
    <row r="10">
      <c r="A10" s="9" t="inlineStr">
        <is>
          <t>PV of Terminal Value</t>
        </is>
      </c>
      <c r="B10" s="15" t="n">
        <v>62035054860.3</v>
      </c>
    </row>
    <row r="11">
      <c r="A11" s="16" t="inlineStr">
        <is>
          <t>Implied Enterprise Value</t>
        </is>
      </c>
      <c r="B11" s="17" t="n">
        <v>106235637139.12</v>
      </c>
    </row>
    <row r="12">
      <c r="A12" s="9" t="inlineStr">
        <is>
          <t>Less: Total Borrowings</t>
        </is>
      </c>
      <c r="B12" s="15" t="n">
        <v>18000000000</v>
      </c>
    </row>
    <row r="13">
      <c r="A13" s="9" t="inlineStr">
        <is>
          <t>Add: Cash &amp; Equivalents</t>
        </is>
      </c>
      <c r="B13" s="15" t="n">
        <v>3000000000</v>
      </c>
    </row>
    <row r="14">
      <c r="A14" s="9" t="inlineStr">
        <is>
          <t>Net Debt</t>
        </is>
      </c>
      <c r="B14" s="15" t="n">
        <v>15000000000</v>
      </c>
    </row>
    <row r="15">
      <c r="A15" s="16" t="inlineStr">
        <is>
          <t>Implied Equity Value</t>
        </is>
      </c>
      <c r="B15" s="17" t="n">
        <v>91235637139.12</v>
      </c>
    </row>
    <row r="16">
      <c r="A16" s="9" t="inlineStr">
        <is>
          <t>Shares Outstanding</t>
        </is>
      </c>
      <c r="B16" s="18" t="n">
        <v>650000000</v>
      </c>
    </row>
    <row r="17">
      <c r="A17" s="16" t="inlineStr">
        <is>
          <t>Implied Share Price</t>
        </is>
      </c>
      <c r="B17" s="17" t="n">
        <v>140.36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Test Deal 2 -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0.1046</v>
      </c>
      <c r="C5" s="15" t="n">
        <v>169.3406179193043</v>
      </c>
      <c r="D5" s="15" t="n">
        <v>177.001221719336</v>
      </c>
      <c r="E5" s="15" t="n">
        <v>185.6242129314319</v>
      </c>
      <c r="F5" s="15" t="n">
        <v>195.4031010888491</v>
      </c>
      <c r="G5" s="15" t="n">
        <v>206.5870019125618</v>
      </c>
    </row>
    <row r="6">
      <c r="B6" s="19" t="n">
        <v>0.1146</v>
      </c>
      <c r="C6" s="15" t="n">
        <v>148.1039433824974</v>
      </c>
      <c r="D6" s="15" t="n">
        <v>153.9425188813082</v>
      </c>
      <c r="E6" s="15" t="n">
        <v>160.432721109897</v>
      </c>
      <c r="F6" s="15" t="n">
        <v>167.6900867224798</v>
      </c>
      <c r="G6" s="15" t="n">
        <v>175.859181683377</v>
      </c>
    </row>
    <row r="7">
      <c r="B7" s="19" t="n">
        <v>0.1246</v>
      </c>
      <c r="C7" s="15" t="n">
        <v>130.7997215776132</v>
      </c>
      <c r="D7" s="15" t="n">
        <v>135.3479356112079</v>
      </c>
      <c r="E7" s="15" t="n">
        <v>140.3527976401435</v>
      </c>
      <c r="F7" s="15" t="n">
        <v>145.8867148518418</v>
      </c>
      <c r="G7" s="15" t="n">
        <v>152.0382567523458</v>
      </c>
    </row>
    <row r="8">
      <c r="B8" s="19" t="n">
        <v>0.1346</v>
      </c>
      <c r="C8" s="15" t="n">
        <v>116.438976432687</v>
      </c>
      <c r="D8" s="15" t="n">
        <v>120.0464165858158</v>
      </c>
      <c r="E8" s="15" t="n">
        <v>123.9830027383176</v>
      </c>
      <c r="F8" s="15" t="n">
        <v>128.2959355593187</v>
      </c>
      <c r="G8" s="15" t="n">
        <v>133.0418937639544</v>
      </c>
    </row>
    <row r="9">
      <c r="B9" s="19" t="n">
        <v>0.1446</v>
      </c>
      <c r="C9" s="15" t="n">
        <v>104.3381200753566</v>
      </c>
      <c r="D9" s="15" t="n">
        <v>107.2429861483154</v>
      </c>
      <c r="E9" s="15" t="n">
        <v>110.3907339999496</v>
      </c>
      <c r="F9" s="15" t="n">
        <v>113.8131544389865</v>
      </c>
      <c r="G9" s="15" t="n">
        <v>117.5478395166217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2026-03-04T16:49:34Z</dcterms:created>
  <dcterms:modified xmlns:dcterms="http://purl.org/dc/terms/" xmlns:xsi="http://www.w3.org/2001/XMLSchema-instance" xsi:type="dcterms:W3CDTF">2026-03-04T16:49:34Z</dcterms:modified>
</cp:coreProperties>
</file>