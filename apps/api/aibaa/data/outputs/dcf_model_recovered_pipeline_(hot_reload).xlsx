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49" fontId="4" fillId="0" borderId="0" pivotButton="0" quotePrefix="0" xfId="0"/>
    <xf numFmtId="49" fontId="4" fillId="0" borderId="2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Recovered Pipeline (Hot Reload) - Key Assumptions</t>
        </is>
      </c>
    </row>
    <row r="3">
      <c r="A3" t="inlineStr">
        <is>
          <t>Revenue Cagr</t>
        </is>
      </c>
      <c r="B3" s="2" t="n">
        <v>0.06</v>
      </c>
    </row>
    <row r="4">
      <c r="A4" t="inlineStr">
        <is>
          <t>Revenue Cagr Override</t>
        </is>
      </c>
      <c r="B4" s="2" t="n">
        <v>0.06</v>
      </c>
    </row>
    <row r="5">
      <c r="A5" t="inlineStr">
        <is>
          <t>Avg Ebitda Margin</t>
        </is>
      </c>
      <c r="B5" s="2" t="n">
        <v>0.1272</v>
      </c>
    </row>
    <row r="6">
      <c r="A6" t="inlineStr">
        <is>
          <t>Latest Ebitda Margin</t>
        </is>
      </c>
      <c r="B6" s="2" t="n">
        <v>0.13</v>
      </c>
    </row>
    <row r="7">
      <c r="A7" t="inlineStr">
        <is>
          <t>Terminal Ebitda Margin</t>
        </is>
      </c>
      <c r="B7" s="2" t="n">
        <v>0.1254</v>
      </c>
    </row>
    <row r="8">
      <c r="A8" t="inlineStr">
        <is>
          <t>Tax Rate</t>
        </is>
      </c>
      <c r="B8" s="2" t="n">
        <v>0.25</v>
      </c>
    </row>
    <row r="9">
      <c r="A9" t="inlineStr">
        <is>
          <t>Opening Tax Loss Carryforward</t>
        </is>
      </c>
      <c r="B9" s="2" t="n">
        <v>0</v>
      </c>
    </row>
    <row r="10">
      <c r="A10" t="inlineStr">
        <is>
          <t>Da Percent Rev</t>
        </is>
      </c>
      <c r="B10" s="2" t="n">
        <v>0.055</v>
      </c>
    </row>
    <row r="11">
      <c r="A11" t="inlineStr">
        <is>
          <t>Cap Ex Percent Rev</t>
        </is>
      </c>
      <c r="B11" s="2" t="n">
        <v>0.03</v>
      </c>
    </row>
    <row r="12">
      <c r="A12" t="inlineStr">
        <is>
          <t>Nwc Percent Rev</t>
        </is>
      </c>
      <c r="B12" s="2" t="n">
        <v>0.1</v>
      </c>
    </row>
    <row r="13">
      <c r="A13" t="inlineStr">
        <is>
          <t>Scenario</t>
        </is>
      </c>
      <c r="B13" s="3" t="inlineStr">
        <is>
          <t>Base Case</t>
        </is>
      </c>
    </row>
    <row r="15">
      <c r="A15" t="inlineStr">
        <is>
          <t>WACC</t>
        </is>
      </c>
      <c r="B15" s="4" t="n">
        <v>0.125</v>
      </c>
    </row>
    <row r="16">
      <c r="A16" t="inlineStr">
        <is>
          <t>Terminal Growth Rate</t>
        </is>
      </c>
      <c r="B16" s="4" t="n">
        <v>0.025</v>
      </c>
    </row>
    <row r="18">
      <c r="A18" s="5" t="inlineStr">
        <is>
          <t>WACC Calculation Breakdown</t>
        </is>
      </c>
    </row>
    <row r="19">
      <c r="A19" t="inlineStr">
        <is>
          <t>Risk-Free Rate (10Y G-Sec)</t>
        </is>
      </c>
      <c r="B19" s="6" t="n">
        <v>0.07000000000000001</v>
      </c>
    </row>
    <row r="20">
      <c r="A20" t="inlineStr">
        <is>
          <t>Equity Risk Premium</t>
        </is>
      </c>
      <c r="B20" s="6" t="n">
        <v>0.055</v>
      </c>
    </row>
    <row r="21">
      <c r="A21" t="inlineStr">
        <is>
          <t>Beta</t>
        </is>
      </c>
      <c r="B21" s="7" t="n">
        <v>1</v>
      </c>
    </row>
    <row r="22">
      <c r="A22" t="inlineStr">
        <is>
          <t>Size Premium</t>
        </is>
      </c>
      <c r="B22" s="6" t="n">
        <v>0</v>
      </c>
    </row>
    <row r="23">
      <c r="A23" t="inlineStr">
        <is>
          <t>Specific Risk Premium</t>
        </is>
      </c>
      <c r="B23" s="6" t="n">
        <v>0</v>
      </c>
    </row>
    <row r="24">
      <c r="A24" t="inlineStr">
        <is>
          <t>Cost of Equity (CAPM)</t>
        </is>
      </c>
      <c r="B24" s="6" t="n">
        <v>0.125</v>
      </c>
    </row>
    <row r="25">
      <c r="A25" t="inlineStr">
        <is>
          <t>Cost of Debt</t>
        </is>
      </c>
      <c r="B25" s="6" t="n">
        <v>0.09</v>
      </c>
    </row>
    <row r="26">
      <c r="A26" t="inlineStr">
        <is>
          <t>After-Tax Cost of Debt</t>
        </is>
      </c>
      <c r="B26" s="6" t="n">
        <v>0.0675</v>
      </c>
    </row>
    <row r="27">
      <c r="A27" t="inlineStr">
        <is>
          <t>Weight of Equity</t>
        </is>
      </c>
      <c r="B27" s="6" t="n">
        <v>1</v>
      </c>
    </row>
    <row r="28">
      <c r="A28" t="inlineStr">
        <is>
          <t>Weight of Debt</t>
        </is>
      </c>
      <c r="B28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Recovered Pipeline (Hot Reload)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</row>
    <row r="4">
      <c r="A4" s="9" t="inlineStr">
        <is>
          <t>Revenue</t>
        </is>
      </c>
      <c r="B4" s="10" t="n">
        <v>120000000000</v>
      </c>
      <c r="C4" s="10" t="n">
        <v>128400000000</v>
      </c>
      <c r="D4" s="10" t="n">
        <v>136104000000</v>
      </c>
      <c r="E4" s="10" t="n">
        <v>143590000000</v>
      </c>
      <c r="F4" s="10" t="n">
        <v>150050000000</v>
      </c>
      <c r="G4" s="11" t="n">
        <v>159053000000</v>
      </c>
      <c r="H4" s="11" t="n">
        <v>167482809000</v>
      </c>
      <c r="I4" s="11" t="n">
        <v>175187018214</v>
      </c>
      <c r="J4" s="11" t="n">
        <v>182019311924.35</v>
      </c>
      <c r="K4" s="11" t="n">
        <v>187843929905.93</v>
      </c>
    </row>
    <row r="5">
      <c r="A5" s="9" t="inlineStr">
        <is>
          <t xml:space="preserve">  Revenue Growth %</t>
        </is>
      </c>
      <c r="B5" s="10" t="n"/>
      <c r="C5" s="10" t="n">
        <v>7</v>
      </c>
      <c r="D5" s="10" t="n">
        <v>6</v>
      </c>
      <c r="E5" s="10" t="n">
        <v>5.5</v>
      </c>
      <c r="F5" s="10" t="n">
        <v>4.5</v>
      </c>
      <c r="G5" s="11" t="n">
        <v>6</v>
      </c>
      <c r="H5" s="11" t="n">
        <v>5.3</v>
      </c>
      <c r="I5" s="11" t="n">
        <v>4.6</v>
      </c>
      <c r="J5" s="11" t="n">
        <v>3.9</v>
      </c>
      <c r="K5" s="11" t="n">
        <v>3.2</v>
      </c>
    </row>
    <row r="6">
      <c r="A6" s="9" t="inlineStr">
        <is>
          <t>EBITDA</t>
        </is>
      </c>
      <c r="B6" s="10" t="n">
        <v>14400000000</v>
      </c>
      <c r="C6" s="10" t="n">
        <v>15793200000</v>
      </c>
      <c r="D6" s="10" t="n">
        <v>17149104000</v>
      </c>
      <c r="E6" s="10" t="n">
        <v>18379520000</v>
      </c>
      <c r="F6" s="10" t="n">
        <v>19506500000</v>
      </c>
      <c r="G6" s="11" t="n">
        <v>20530561240</v>
      </c>
      <c r="H6" s="11" t="n">
        <v>21464596801.44</v>
      </c>
      <c r="I6" s="11" t="n">
        <v>22290796197.55</v>
      </c>
      <c r="J6" s="11" t="n">
        <v>22992679482.28</v>
      </c>
      <c r="K6" s="11" t="n">
        <v>23555628810.2</v>
      </c>
    </row>
    <row r="7">
      <c r="A7" s="9" t="inlineStr">
        <is>
          <t xml:space="preserve">  EBITDA Margin %</t>
        </is>
      </c>
      <c r="B7" s="10" t="n">
        <v>12</v>
      </c>
      <c r="C7" s="10" t="n">
        <v>12.3</v>
      </c>
      <c r="D7" s="10" t="n">
        <v>12.6</v>
      </c>
      <c r="E7" s="10" t="n">
        <v>12.8</v>
      </c>
      <c r="F7" s="10" t="n">
        <v>13</v>
      </c>
      <c r="G7" s="11" t="n">
        <v>12.91</v>
      </c>
      <c r="H7" s="11" t="n">
        <v>12.82</v>
      </c>
      <c r="I7" s="11" t="n">
        <v>12.72</v>
      </c>
      <c r="J7" s="11" t="n">
        <v>12.63</v>
      </c>
      <c r="K7" s="11" t="n">
        <v>12.54</v>
      </c>
    </row>
    <row r="8">
      <c r="A8" s="9" t="inlineStr">
        <is>
          <t>Less: D&amp;A</t>
        </is>
      </c>
      <c r="G8" s="11" t="n">
        <v>8747915000</v>
      </c>
      <c r="H8" s="11" t="n">
        <v>9211554495</v>
      </c>
      <c r="I8" s="11" t="n">
        <v>9635286001.77</v>
      </c>
      <c r="J8" s="11" t="n">
        <v>10011062155.84</v>
      </c>
      <c r="K8" s="11" t="n">
        <v>10331416144.83</v>
      </c>
    </row>
    <row r="9">
      <c r="A9" s="9" t="inlineStr">
        <is>
          <t>EBIT</t>
        </is>
      </c>
      <c r="G9" s="11" t="n">
        <v>11782646240</v>
      </c>
      <c r="H9" s="11" t="n">
        <v>12253042306.44</v>
      </c>
      <c r="I9" s="11" t="n">
        <v>12655510195.78</v>
      </c>
      <c r="J9" s="11" t="n">
        <v>12981617326.44</v>
      </c>
      <c r="K9" s="11" t="n">
        <v>13224212665.38</v>
      </c>
    </row>
    <row r="10">
      <c r="A10" s="9" t="inlineStr">
        <is>
          <t>Less: Taxes</t>
        </is>
      </c>
      <c r="G10" s="11" t="n">
        <v>2945661560</v>
      </c>
      <c r="H10" s="11" t="n">
        <v>3063260576.61</v>
      </c>
      <c r="I10" s="11" t="n">
        <v>3163877548.94</v>
      </c>
      <c r="J10" s="11" t="n">
        <v>3245404331.61</v>
      </c>
      <c r="K10" s="11" t="n">
        <v>3306053166.34</v>
      </c>
    </row>
    <row r="11">
      <c r="A11" s="9" t="inlineStr">
        <is>
          <t>EBIAT</t>
        </is>
      </c>
      <c r="G11" s="11" t="n">
        <v>8836984680</v>
      </c>
      <c r="H11" s="11" t="n">
        <v>9189781729.83</v>
      </c>
      <c r="I11" s="11" t="n">
        <v>9491632646.83</v>
      </c>
      <c r="J11" s="11" t="n">
        <v>9736212994.83</v>
      </c>
      <c r="K11" s="11" t="n">
        <v>9918159499.030001</v>
      </c>
    </row>
    <row r="12">
      <c r="A12" s="9" t="inlineStr">
        <is>
          <t>Plus: D&amp;A</t>
        </is>
      </c>
      <c r="G12" s="11" t="n">
        <v>8747915000</v>
      </c>
      <c r="H12" s="11" t="n">
        <v>9211554495</v>
      </c>
      <c r="I12" s="11" t="n">
        <v>9635286001.77</v>
      </c>
      <c r="J12" s="11" t="n">
        <v>10011062155.84</v>
      </c>
      <c r="K12" s="11" t="n">
        <v>10331416144.83</v>
      </c>
    </row>
    <row r="13">
      <c r="A13" s="9" t="inlineStr">
        <is>
          <t>Less: CapEx</t>
        </is>
      </c>
      <c r="G13" s="11" t="n">
        <v>4771590000</v>
      </c>
      <c r="H13" s="11" t="n">
        <v>5024484270</v>
      </c>
      <c r="I13" s="11" t="n">
        <v>5255610546.42</v>
      </c>
      <c r="J13" s="11" t="n">
        <v>5460579357.73</v>
      </c>
      <c r="K13" s="11" t="n">
        <v>5635317897.18</v>
      </c>
    </row>
    <row r="14">
      <c r="A14" s="9" t="inlineStr">
        <is>
          <t>Less: Change in NWC</t>
        </is>
      </c>
      <c r="G14" s="11" t="n">
        <v>4604273972.6</v>
      </c>
      <c r="H14" s="11" t="n">
        <v>1039291520.55</v>
      </c>
      <c r="I14" s="11" t="n">
        <v>949834012.6799999</v>
      </c>
      <c r="J14" s="11" t="n">
        <v>842337580.73</v>
      </c>
      <c r="K14" s="11" t="n">
        <v>718103586.77</v>
      </c>
    </row>
    <row r="15">
      <c r="A15" s="12" t="inlineStr">
        <is>
          <t>Unlevered Free Cash Flow</t>
        </is>
      </c>
      <c r="G15" s="13" t="n">
        <v>8209035707.4</v>
      </c>
      <c r="H15" s="13" t="n">
        <v>12337560434.28</v>
      </c>
      <c r="I15" s="13" t="n">
        <v>12921474089.5</v>
      </c>
      <c r="J15" s="13" t="n">
        <v>13444358212.21</v>
      </c>
      <c r="K15" s="13" t="n">
        <v>13896154159.91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Recovered Pipeline (Hot Reload)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</row>
    <row r="4">
      <c r="A4" s="9" t="inlineStr">
        <is>
          <t>Unlevered Free Cash Flow</t>
        </is>
      </c>
      <c r="B4" s="11" t="n">
        <v>8209035707.4</v>
      </c>
      <c r="C4" s="11" t="n">
        <v>12337560434.28</v>
      </c>
      <c r="D4" s="11" t="n">
        <v>12921474089.5</v>
      </c>
      <c r="E4" s="11" t="n">
        <v>13444358212.21</v>
      </c>
      <c r="F4" s="11" t="n">
        <v>13896154159.91</v>
      </c>
    </row>
    <row r="5">
      <c r="A5" s="9" t="inlineStr">
        <is>
          <t>Discount Factor</t>
        </is>
      </c>
      <c r="B5" s="14" t="n">
        <v>0.8889</v>
      </c>
      <c r="C5" s="14" t="n">
        <v>0.7901</v>
      </c>
      <c r="D5" s="14" t="n">
        <v>0.7023</v>
      </c>
      <c r="E5" s="14" t="n">
        <v>0.6243</v>
      </c>
      <c r="F5" s="14" t="n">
        <v>0.5548999999999999</v>
      </c>
    </row>
    <row r="6">
      <c r="A6" s="9" t="inlineStr">
        <is>
          <t>PV of Free Cash Flow</t>
        </is>
      </c>
      <c r="B6" s="11" t="n">
        <v>7296920628.8</v>
      </c>
      <c r="C6" s="11" t="n">
        <v>9748195898.690001</v>
      </c>
      <c r="D6" s="11" t="n">
        <v>9075164243.93</v>
      </c>
      <c r="E6" s="11" t="n">
        <v>8393246644.9</v>
      </c>
      <c r="F6" s="11" t="n">
        <v>7711378338.53</v>
      </c>
    </row>
    <row r="9">
      <c r="A9" s="9" t="inlineStr">
        <is>
          <t>Sum of PV of FCFs</t>
        </is>
      </c>
      <c r="B9" s="15" t="n">
        <v>42224905754.85</v>
      </c>
    </row>
    <row r="10">
      <c r="A10" s="9" t="inlineStr">
        <is>
          <t>PV of Terminal Value</t>
        </is>
      </c>
      <c r="B10" s="15" t="n">
        <v>79037503419.17</v>
      </c>
    </row>
    <row r="11">
      <c r="A11" s="16" t="inlineStr">
        <is>
          <t>Implied Enterprise Value</t>
        </is>
      </c>
      <c r="B11" s="17" t="n">
        <v>121262409174.03</v>
      </c>
    </row>
    <row r="12">
      <c r="A12" s="9" t="inlineStr">
        <is>
          <t>Less: Total Borrowings</t>
        </is>
      </c>
      <c r="B12" s="15" t="n">
        <v>0</v>
      </c>
    </row>
    <row r="13">
      <c r="A13" s="9" t="inlineStr">
        <is>
          <t>Less: Lease Liabilities</t>
        </is>
      </c>
      <c r="B13" s="18" t="n">
        <v>0</v>
      </c>
    </row>
    <row r="14">
      <c r="A14" s="9" t="inlineStr">
        <is>
          <t>Less: CCPS Liability</t>
        </is>
      </c>
      <c r="B14" s="18" t="n">
        <v>0</v>
      </c>
    </row>
    <row r="15">
      <c r="A15" s="9" t="inlineStr">
        <is>
          <t>Add: Cash &amp; Equivalents</t>
        </is>
      </c>
      <c r="B15" s="15" t="n">
        <v>0</v>
      </c>
    </row>
    <row r="16">
      <c r="A16" s="9" t="inlineStr">
        <is>
          <t>Net Debt</t>
        </is>
      </c>
      <c r="B16" s="15" t="n">
        <v>0</v>
      </c>
    </row>
    <row r="17">
      <c r="A17" s="16" t="inlineStr">
        <is>
          <t>Implied Equity Value</t>
        </is>
      </c>
      <c r="B17" s="17" t="n">
        <v>121262409174.03</v>
      </c>
    </row>
    <row r="18">
      <c r="A18" s="9" t="inlineStr">
        <is>
          <t>Shares Outstanding</t>
        </is>
      </c>
      <c r="B18" s="19" t="inlineStr">
        <is>
          <t>Not verified</t>
        </is>
      </c>
    </row>
    <row r="19">
      <c r="A19" s="16" t="inlineStr">
        <is>
          <t>Implied Share Price</t>
        </is>
      </c>
      <c r="B19" s="20" t="inlineStr">
        <is>
          <t>Suppressed - share count unverified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Recovered Pipeline (Hot Reload) - Implied Equity Value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'Valuation'!B19</f>
        <v/>
      </c>
      <c r="C4" s="21" t="n">
        <v>0.015</v>
      </c>
      <c r="D4" s="21" t="n">
        <v>0.02</v>
      </c>
      <c r="E4" s="21" t="n">
        <v>0.025</v>
      </c>
      <c r="F4" s="21" t="n">
        <v>0.03</v>
      </c>
      <c r="G4" s="21" t="n">
        <v>0.035</v>
      </c>
    </row>
    <row r="5">
      <c r="B5" s="21" t="n">
        <v>0.105</v>
      </c>
      <c r="C5" s="15" t="n">
        <v>139690376310.8855</v>
      </c>
      <c r="D5" s="15" t="n">
        <v>145782294754.1395</v>
      </c>
      <c r="E5" s="15" t="n">
        <v>152635703002.8002</v>
      </c>
      <c r="F5" s="15" t="n">
        <v>160402899017.949</v>
      </c>
      <c r="G5" s="15" t="n">
        <v>169279694463.8333</v>
      </c>
    </row>
    <row r="6">
      <c r="B6" s="21" t="n">
        <v>0.115</v>
      </c>
      <c r="C6" s="15" t="n">
        <v>125213500618.3179</v>
      </c>
      <c r="D6" s="15" t="n">
        <v>129945465936.5471</v>
      </c>
      <c r="E6" s="15" t="n">
        <v>135203205179.0238</v>
      </c>
      <c r="F6" s="15" t="n">
        <v>141079501979.4391</v>
      </c>
      <c r="G6" s="15" t="n">
        <v>147690335879.9062</v>
      </c>
    </row>
    <row r="7">
      <c r="B7" s="21" t="n">
        <v>0.125</v>
      </c>
      <c r="C7" s="15" t="n">
        <v>113379896787.6648</v>
      </c>
      <c r="D7" s="15" t="n">
        <v>117135438186.3001</v>
      </c>
      <c r="E7" s="15" t="n">
        <v>121266533724.799</v>
      </c>
      <c r="F7" s="15" t="n">
        <v>125832481425.2451</v>
      </c>
      <c r="G7" s="15" t="n">
        <v>130905756647.963</v>
      </c>
    </row>
    <row r="8">
      <c r="B8" s="21" t="n">
        <v>0.135</v>
      </c>
      <c r="C8" s="15" t="n">
        <v>103528377675.0527</v>
      </c>
      <c r="D8" s="15" t="n">
        <v>106562283496.063</v>
      </c>
      <c r="E8" s="15" t="n">
        <v>109871998937.1652</v>
      </c>
      <c r="F8" s="15" t="n">
        <v>113496925372.6581</v>
      </c>
      <c r="G8" s="15" t="n">
        <v>117484344451.7002</v>
      </c>
    </row>
    <row r="9">
      <c r="B9" s="21" t="n">
        <v>0.145</v>
      </c>
      <c r="C9" s="15" t="n">
        <v>95201214560.4436</v>
      </c>
      <c r="D9" s="15" t="n">
        <v>97688864780.85986</v>
      </c>
      <c r="E9" s="15" t="n">
        <v>100383819186.3108</v>
      </c>
      <c r="F9" s="15" t="n">
        <v>103313117453.1053</v>
      </c>
      <c r="G9" s="15" t="n">
        <v>106508715562.3356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2026-03-10T20:24:56Z</dcterms:created>
  <dcterms:modified xmlns:dcterms="http://purl.org/dc/terms/" xmlns:xsi="http://www.w3.org/2001/XMLSchema-instance" xsi:type="dcterms:W3CDTF">2026-03-10T20:24:56Z</dcterms:modified>
</cp:coreProperties>
</file>