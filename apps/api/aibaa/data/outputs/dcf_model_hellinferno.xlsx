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Projections" sheetId="2" state="visible" r:id="rId2"/>
    <sheet xmlns:r="http://schemas.openxmlformats.org/officeDocument/2006/relationships" name="Valuation" sheetId="3" state="visible" r:id="rId3"/>
    <sheet xmlns:r="http://schemas.openxmlformats.org/officeDocument/2006/relationships" name="Sensitivity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$#,##0.00"/>
    <numFmt numFmtId="166" formatCode="0.0%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000000"/>
    </font>
    <font>
      <name val="Arial"/>
      <b val="1"/>
      <color rgb="00FFFFFF"/>
    </font>
    <font>
      <name val="Arial"/>
      <b val="1"/>
    </font>
    <font>
      <name val="Arial"/>
      <color rgb="000000FF"/>
    </font>
    <font>
      <b val="1"/>
    </font>
  </fonts>
  <fills count="3">
    <fill>
      <patternFill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10" fontId="2" fillId="0" borderId="0" pivotButton="0" quotePrefix="0" xfId="0"/>
    <xf numFmtId="10" fontId="0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4" fontId="5" fillId="0" borderId="0" pivotButton="0" quotePrefix="0" xfId="0"/>
    <xf numFmtId="164" fontId="5" fillId="0" borderId="0" pivotButton="0" quotePrefix="0" xfId="0"/>
    <xf numFmtId="165" fontId="5" fillId="0" borderId="0" pivotButton="0" quotePrefix="0" xfId="0"/>
    <xf numFmtId="166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hellinferno - Key Assumptions</t>
        </is>
      </c>
    </row>
    <row r="3">
      <c r="A3" t="inlineStr">
        <is>
          <t>Revenue Cagr</t>
        </is>
      </c>
      <c r="B3" s="2" t="n">
        <v>0.0801</v>
      </c>
    </row>
    <row r="4">
      <c r="A4" t="inlineStr">
        <is>
          <t>Avg Ebitda Margin</t>
        </is>
      </c>
      <c r="B4" s="2" t="n">
        <v>0.19</v>
      </c>
    </row>
    <row r="5">
      <c r="A5" t="inlineStr">
        <is>
          <t>Tax Rate</t>
        </is>
      </c>
      <c r="B5" s="2" t="n">
        <v>0.21</v>
      </c>
    </row>
    <row r="6">
      <c r="A6" t="inlineStr">
        <is>
          <t>Da Percent Rev</t>
        </is>
      </c>
      <c r="B6" s="2" t="n">
        <v>0.03</v>
      </c>
    </row>
    <row r="7">
      <c r="A7" t="inlineStr">
        <is>
          <t>Cap Ex Percent Rev</t>
        </is>
      </c>
      <c r="B7" s="2" t="n">
        <v>0.03</v>
      </c>
    </row>
    <row r="8">
      <c r="A8" t="inlineStr">
        <is>
          <t>Nwc Percent Rev</t>
        </is>
      </c>
      <c r="B8" s="2" t="n">
        <v>0.1</v>
      </c>
    </row>
    <row r="10">
      <c r="A10" t="inlineStr">
        <is>
          <t>WACC</t>
        </is>
      </c>
      <c r="B10" s="3" t="n">
        <v>0.1</v>
      </c>
    </row>
    <row r="11">
      <c r="A11" t="inlineStr">
        <is>
          <t>Terminal Growth Rate</t>
        </is>
      </c>
      <c r="B11" s="3" t="n">
        <v>0.025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hellinferno - Financial Projections</t>
        </is>
      </c>
    </row>
    <row r="3">
      <c r="A3" s="4" t="inlineStr">
        <is>
          <t>Metric</t>
        </is>
      </c>
      <c r="B3" s="4" t="inlineStr">
        <is>
          <t>Year 1</t>
        </is>
      </c>
      <c r="C3" s="4" t="inlineStr">
        <is>
          <t>Year 2</t>
        </is>
      </c>
      <c r="D3" s="4" t="inlineStr">
        <is>
          <t>Year 3</t>
        </is>
      </c>
      <c r="E3" s="4" t="inlineStr">
        <is>
          <t>Year 4</t>
        </is>
      </c>
      <c r="F3" s="4" t="inlineStr">
        <is>
          <t>Year 5</t>
        </is>
      </c>
    </row>
    <row r="4">
      <c r="A4" s="5" t="inlineStr">
        <is>
          <t>Revenue</t>
        </is>
      </c>
      <c r="B4" s="6" t="n">
        <v>151217282.96</v>
      </c>
      <c r="C4" s="6" t="n">
        <v>163333333.33</v>
      </c>
      <c r="D4" s="6" t="n">
        <v>176420163.46</v>
      </c>
      <c r="E4" s="6" t="n">
        <v>190555555.56</v>
      </c>
      <c r="F4" s="6" t="n">
        <v>205823524.03</v>
      </c>
    </row>
    <row r="5">
      <c r="A5" s="5" t="inlineStr">
        <is>
          <t>EBITDA</t>
        </is>
      </c>
      <c r="B5" s="6" t="n">
        <v>28731283.76</v>
      </c>
      <c r="C5" s="6" t="n">
        <v>31033333.33</v>
      </c>
      <c r="D5" s="6" t="n">
        <v>33519831.06</v>
      </c>
      <c r="E5" s="6" t="n">
        <v>36205555.56</v>
      </c>
      <c r="F5" s="6" t="n">
        <v>39106469.57</v>
      </c>
    </row>
    <row r="6">
      <c r="A6" s="5" t="inlineStr">
        <is>
          <t>Less: D&amp;A</t>
        </is>
      </c>
      <c r="B6" s="6" t="n">
        <v>4536518.49</v>
      </c>
      <c r="C6" s="6" t="n">
        <v>4900000</v>
      </c>
      <c r="D6" s="6" t="n">
        <v>5292604.9</v>
      </c>
      <c r="E6" s="6" t="n">
        <v>5716666.67</v>
      </c>
      <c r="F6" s="6" t="n">
        <v>6174705.72</v>
      </c>
    </row>
    <row r="7">
      <c r="A7" s="5" t="inlineStr">
        <is>
          <t>EBIT</t>
        </is>
      </c>
      <c r="B7" s="6" t="n">
        <v>24194765.27</v>
      </c>
      <c r="C7" s="6" t="n">
        <v>26133333.33</v>
      </c>
      <c r="D7" s="6" t="n">
        <v>28227226.15</v>
      </c>
      <c r="E7" s="6" t="n">
        <v>30488888.89</v>
      </c>
      <c r="F7" s="6" t="n">
        <v>32931763.85</v>
      </c>
    </row>
    <row r="8">
      <c r="A8" s="5" t="inlineStr">
        <is>
          <t>Less: Taxes</t>
        </is>
      </c>
      <c r="B8" s="6" t="n">
        <v>5080900.71</v>
      </c>
      <c r="C8" s="6" t="n">
        <v>5488000</v>
      </c>
      <c r="D8" s="6" t="n">
        <v>5927717.49</v>
      </c>
      <c r="E8" s="6" t="n">
        <v>6402666.67</v>
      </c>
      <c r="F8" s="6" t="n">
        <v>6915670.41</v>
      </c>
    </row>
    <row r="9">
      <c r="A9" s="5" t="inlineStr">
        <is>
          <t>EBIAT</t>
        </is>
      </c>
      <c r="B9" s="6" t="n">
        <v>19113864.57</v>
      </c>
      <c r="C9" s="6" t="n">
        <v>20645333.33</v>
      </c>
      <c r="D9" s="6" t="n">
        <v>22299508.66</v>
      </c>
      <c r="E9" s="6" t="n">
        <v>24086222.22</v>
      </c>
      <c r="F9" s="6" t="n">
        <v>26016093.44</v>
      </c>
    </row>
    <row r="10">
      <c r="A10" s="5" t="inlineStr">
        <is>
          <t>Plus: D&amp;A</t>
        </is>
      </c>
      <c r="B10" s="6" t="n">
        <v>4536518.49</v>
      </c>
      <c r="C10" s="6" t="n">
        <v>4900000</v>
      </c>
      <c r="D10" s="6" t="n">
        <v>5292604.9</v>
      </c>
      <c r="E10" s="6" t="n">
        <v>5716666.67</v>
      </c>
      <c r="F10" s="6" t="n">
        <v>6174705.72</v>
      </c>
    </row>
    <row r="11">
      <c r="A11" s="5" t="inlineStr">
        <is>
          <t>Less: CapEx</t>
        </is>
      </c>
      <c r="B11" s="6" t="n">
        <v>4536518.49</v>
      </c>
      <c r="C11" s="6" t="n">
        <v>4900000</v>
      </c>
      <c r="D11" s="6" t="n">
        <v>5292604.9</v>
      </c>
      <c r="E11" s="6" t="n">
        <v>5716666.67</v>
      </c>
      <c r="F11" s="6" t="n">
        <v>6174705.72</v>
      </c>
    </row>
    <row r="12">
      <c r="A12" s="5" t="inlineStr">
        <is>
          <t>Less: Change in NWC</t>
        </is>
      </c>
      <c r="B12" s="6" t="n">
        <v>1121728.3</v>
      </c>
      <c r="C12" s="6" t="n">
        <v>1211605.04</v>
      </c>
      <c r="D12" s="6" t="n">
        <v>1308683.01</v>
      </c>
      <c r="E12" s="6" t="n">
        <v>1413539.21</v>
      </c>
      <c r="F12" s="6" t="n">
        <v>1526796.85</v>
      </c>
    </row>
    <row r="13">
      <c r="A13" s="5" t="inlineStr">
        <is>
          <t>Unlevered Free Cash Flow</t>
        </is>
      </c>
      <c r="B13" s="6" t="n">
        <v>17992136.27</v>
      </c>
      <c r="C13" s="6" t="n">
        <v>19433728.3</v>
      </c>
      <c r="D13" s="6" t="n">
        <v>20990825.65</v>
      </c>
      <c r="E13" s="6" t="n">
        <v>22672683.01</v>
      </c>
      <c r="F13" s="6" t="n">
        <v>24489296.59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hellinferno - DCF Valuation</t>
        </is>
      </c>
    </row>
    <row r="3">
      <c r="A3" s="4" t="inlineStr">
        <is>
          <t>Metric</t>
        </is>
      </c>
      <c r="B3" s="4" t="inlineStr">
        <is>
          <t>Year 1</t>
        </is>
      </c>
      <c r="C3" s="4" t="inlineStr">
        <is>
          <t>Year 2</t>
        </is>
      </c>
      <c r="D3" s="4" t="inlineStr">
        <is>
          <t>Year 3</t>
        </is>
      </c>
      <c r="E3" s="4" t="inlineStr">
        <is>
          <t>Year 4</t>
        </is>
      </c>
      <c r="F3" s="4" t="inlineStr">
        <is>
          <t>Year 5</t>
        </is>
      </c>
    </row>
    <row r="4">
      <c r="A4" s="5" t="inlineStr">
        <is>
          <t>Unlevered Free Cash Flow</t>
        </is>
      </c>
      <c r="B4" s="6" t="n">
        <v>17992136.27</v>
      </c>
      <c r="C4" s="6" t="n">
        <v>19433728.3</v>
      </c>
      <c r="D4" s="6" t="n">
        <v>20990825.65</v>
      </c>
      <c r="E4" s="6" t="n">
        <v>22672683.01</v>
      </c>
      <c r="F4" s="6" t="n">
        <v>24489296.59</v>
      </c>
    </row>
    <row r="5">
      <c r="A5" s="5" t="inlineStr">
        <is>
          <t>Discount Factor</t>
        </is>
      </c>
      <c r="B5" s="7" t="n">
        <v>0.9091</v>
      </c>
      <c r="C5" s="7" t="n">
        <v>0.8264</v>
      </c>
      <c r="D5" s="7" t="n">
        <v>0.7513</v>
      </c>
      <c r="E5" s="7" t="n">
        <v>0.6830000000000001</v>
      </c>
      <c r="F5" s="7" t="n">
        <v>0.6209</v>
      </c>
    </row>
    <row r="6">
      <c r="A6" s="5" t="inlineStr">
        <is>
          <t>PV of Free Cash Flow</t>
        </is>
      </c>
      <c r="B6" s="6" t="n">
        <v>16356487.52</v>
      </c>
      <c r="C6" s="6" t="n">
        <v>16060932.48</v>
      </c>
      <c r="D6" s="6" t="n">
        <v>15770717.99</v>
      </c>
      <c r="E6" s="6" t="n">
        <v>15485747.57</v>
      </c>
      <c r="F6" s="6" t="n">
        <v>15205926.44</v>
      </c>
    </row>
    <row r="9">
      <c r="A9" s="5" t="inlineStr">
        <is>
          <t>Sum of PV of FCFs</t>
        </is>
      </c>
      <c r="B9" s="8" t="n">
        <v>78879812</v>
      </c>
    </row>
    <row r="10">
      <c r="A10" s="5" t="inlineStr">
        <is>
          <t>PV of Terminal Value</t>
        </is>
      </c>
      <c r="B10" s="8" t="n">
        <v>207807191.45</v>
      </c>
    </row>
    <row r="11">
      <c r="A11" s="5" t="inlineStr">
        <is>
          <t>Implied Enterprise Value</t>
        </is>
      </c>
      <c r="B11" s="8" t="n">
        <v>286687003.45</v>
      </c>
    </row>
    <row r="12">
      <c r="A12" s="5" t="inlineStr">
        <is>
          <t>Less: Net Debt</t>
        </is>
      </c>
      <c r="B12" s="6" t="n">
        <v>37100000</v>
      </c>
    </row>
    <row r="13">
      <c r="A13" s="5" t="inlineStr">
        <is>
          <t>Implied Equity Value</t>
        </is>
      </c>
      <c r="B13" s="8" t="n">
        <v>249587003.45</v>
      </c>
    </row>
    <row r="14">
      <c r="A14" s="5" t="inlineStr">
        <is>
          <t>Shares Outstanding</t>
        </is>
      </c>
      <c r="B14" s="6" t="n">
        <v>12750000</v>
      </c>
    </row>
    <row r="15">
      <c r="A15" s="5" t="inlineStr">
        <is>
          <t>Implied Share Price</t>
        </is>
      </c>
      <c r="B15" s="8" t="n">
        <v>19.58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hellinferno - Implied Share Price Sensitivity</t>
        </is>
      </c>
    </row>
    <row r="3">
      <c r="A3" s="5" t="inlineStr">
        <is>
          <t>Sensitivity: WACC vs. Terminal Growth Rate</t>
        </is>
      </c>
    </row>
    <row r="4">
      <c r="B4" s="8">
        <f>'Valuation'!B15</f>
        <v/>
      </c>
      <c r="C4" s="9" t="n">
        <v>0.015</v>
      </c>
      <c r="D4" s="9" t="n">
        <v>0.02</v>
      </c>
      <c r="E4" s="9" t="n">
        <v>0.025</v>
      </c>
      <c r="F4" s="9" t="n">
        <v>0.03</v>
      </c>
      <c r="G4" s="9" t="n">
        <v>0.035</v>
      </c>
    </row>
    <row r="5">
      <c r="B5" s="9" t="n">
        <v>0.08</v>
      </c>
      <c r="C5" s="8" t="n">
        <v>24.03746244043555</v>
      </c>
      <c r="D5" s="8" t="n">
        <v>25.84745379967502</v>
      </c>
      <c r="E5" s="8" t="n">
        <v>27.986534496958</v>
      </c>
      <c r="F5" s="8" t="n">
        <v>30.55343133369759</v>
      </c>
      <c r="G5" s="8" t="n">
        <v>33.69074968971265</v>
      </c>
    </row>
    <row r="6">
      <c r="B6" s="9" t="n">
        <v>0.09000000000000001</v>
      </c>
      <c r="C6" s="8" t="n">
        <v>20.34133316047452</v>
      </c>
      <c r="D6" s="8" t="n">
        <v>21.63723120757884</v>
      </c>
      <c r="E6" s="8" t="n">
        <v>23.13249818500688</v>
      </c>
      <c r="F6" s="8" t="n">
        <v>24.87697632533961</v>
      </c>
      <c r="G6" s="8" t="n">
        <v>26.93863230936919</v>
      </c>
    </row>
    <row r="7">
      <c r="B7" s="9" t="n">
        <v>0.1</v>
      </c>
      <c r="C7" s="8" t="n">
        <v>17.51815396143405</v>
      </c>
      <c r="D7" s="8" t="n">
        <v>18.48277443913854</v>
      </c>
      <c r="E7" s="8" t="n">
        <v>19.57601098053697</v>
      </c>
      <c r="F7" s="8" t="n">
        <v>20.8254241707066</v>
      </c>
      <c r="G7" s="8" t="n">
        <v>22.26705477474848</v>
      </c>
    </row>
    <row r="8">
      <c r="B8" s="9" t="n">
        <v>0.11</v>
      </c>
      <c r="C8" s="8" t="n">
        <v>15.2921195815002</v>
      </c>
      <c r="D8" s="8" t="n">
        <v>16.03202822495194</v>
      </c>
      <c r="E8" s="8" t="n">
        <v>16.85898494410388</v>
      </c>
      <c r="F8" s="8" t="n">
        <v>17.78931125314982</v>
      </c>
      <c r="G8" s="8" t="n">
        <v>18.84368107006854</v>
      </c>
    </row>
    <row r="9">
      <c r="B9" s="9" t="n">
        <v>0.12</v>
      </c>
      <c r="C9" s="8" t="n">
        <v>13.4925004152598</v>
      </c>
      <c r="D9" s="8" t="n">
        <v>14.07376617475047</v>
      </c>
      <c r="E9" s="8" t="n">
        <v>14.71621780366122</v>
      </c>
      <c r="F9" s="8" t="n">
        <v>15.43005294689538</v>
      </c>
      <c r="G9" s="8" t="n">
        <v>16.22786869521591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2026-03-02T17:11:46Z</dcterms:created>
  <dcterms:modified xmlns:dcterms="http://purl.org/dc/terms/" xmlns:xsi="http://www.w3.org/2001/XMLSchema-instance" xsi:type="dcterms:W3CDTF">2026-03-02T17:11:46Z</dcterms:modified>
</cp:coreProperties>
</file>