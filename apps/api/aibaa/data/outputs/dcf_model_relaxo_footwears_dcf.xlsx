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₹#,##0.0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i val="1"/>
    </font>
    <font>
      <name val="Arial"/>
      <color rgb="000000FF"/>
    </font>
    <font>
      <name val="Arial"/>
      <b val="1"/>
      <color rgb="00FFFFFF"/>
    </font>
    <font>
      <name val="Arial"/>
      <b val="1"/>
    </font>
    <font>
      <name val="Arial"/>
      <color rgb="00008000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4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2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4" fontId="7" fillId="0" borderId="0" pivotButton="0" quotePrefix="0" xfId="0"/>
    <xf numFmtId="4" fontId="4" fillId="0" borderId="0" pivotButton="0" quotePrefix="0" xfId="0"/>
    <xf numFmtId="0" fontId="6" fillId="0" borderId="1" pivotButton="0" quotePrefix="0" xfId="0"/>
    <xf numFmtId="4" fontId="4" fillId="0" borderId="1" pivotButton="0" quotePrefix="0" xfId="0"/>
    <xf numFmtId="164" fontId="4" fillId="0" borderId="0" pivotButton="0" quotePrefix="0" xfId="0"/>
    <xf numFmtId="165" fontId="4" fillId="0" borderId="0" pivotButton="0" quotePrefix="0" xfId="0"/>
    <xf numFmtId="0" fontId="6" fillId="0" borderId="2" pivotButton="0" quotePrefix="0" xfId="0"/>
    <xf numFmtId="165" fontId="4" fillId="0" borderId="2" pivotButton="0" quotePrefix="0" xfId="0"/>
    <xf numFmtId="3" fontId="4" fillId="0" borderId="0" pivotButton="0" quotePrefix="0" xfId="0"/>
    <xf numFmtId="166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Relaxo Footwears DCF - Key Assumptions</t>
        </is>
      </c>
    </row>
    <row r="3">
      <c r="A3" t="inlineStr">
        <is>
          <t>Revenue Cagr</t>
        </is>
      </c>
      <c r="B3" s="2" t="n">
        <v>0.0723</v>
      </c>
    </row>
    <row r="4">
      <c r="A4" t="inlineStr">
        <is>
          <t>Avg Ebitda Margin</t>
        </is>
      </c>
      <c r="B4" s="2" t="n">
        <v>0.134</v>
      </c>
    </row>
    <row r="5">
      <c r="A5" t="inlineStr">
        <is>
          <t>Tax Rate</t>
        </is>
      </c>
      <c r="B5" s="2" t="n">
        <v>0.25</v>
      </c>
    </row>
    <row r="6">
      <c r="A6" t="inlineStr">
        <is>
          <t>Da Percent Rev</t>
        </is>
      </c>
      <c r="B6" s="2" t="n">
        <v>0.05</v>
      </c>
    </row>
    <row r="7">
      <c r="A7" t="inlineStr">
        <is>
          <t>Cap Ex Percent Rev</t>
        </is>
      </c>
      <c r="B7" s="2" t="n">
        <v>0.04</v>
      </c>
    </row>
    <row r="8">
      <c r="A8" t="inlineStr">
        <is>
          <t>Nwc Percent Rev</t>
        </is>
      </c>
      <c r="B8" s="2" t="n">
        <v>0.1</v>
      </c>
    </row>
    <row r="9">
      <c r="A9" t="inlineStr">
        <is>
          <t>Scenario</t>
        </is>
      </c>
      <c r="B9" s="3" t="inlineStr">
        <is>
          <t>Base Case</t>
        </is>
      </c>
    </row>
    <row r="11">
      <c r="A11" t="inlineStr">
        <is>
          <t>WACC</t>
        </is>
      </c>
      <c r="B11" s="4" t="n">
        <v>0.1156</v>
      </c>
    </row>
    <row r="12">
      <c r="A12" t="inlineStr">
        <is>
          <t>Terminal Growth Rate</t>
        </is>
      </c>
      <c r="B12" s="4" t="n">
        <v>0.025</v>
      </c>
    </row>
    <row r="14">
      <c r="A14" s="5" t="inlineStr">
        <is>
          <t>WACC Calculation Breakdown</t>
        </is>
      </c>
    </row>
    <row r="15">
      <c r="A15" t="inlineStr">
        <is>
          <t>Risk-Free Rate (10Y G-Sec)</t>
        </is>
      </c>
      <c r="B15" s="6" t="n">
        <v>0.07000000000000001</v>
      </c>
    </row>
    <row r="16">
      <c r="A16" t="inlineStr">
        <is>
          <t>Equity Risk Premium</t>
        </is>
      </c>
      <c r="B16" s="6" t="n">
        <v>0.06</v>
      </c>
    </row>
    <row r="17">
      <c r="A17" t="inlineStr">
        <is>
          <t>Beta</t>
        </is>
      </c>
      <c r="B17" s="7" t="n">
        <v>1</v>
      </c>
    </row>
    <row r="18">
      <c r="A18" t="inlineStr">
        <is>
          <t>Cost of Equity (CAPM)</t>
        </is>
      </c>
      <c r="B18" s="6" t="n">
        <v>0.13</v>
      </c>
    </row>
    <row r="19">
      <c r="A19" t="inlineStr">
        <is>
          <t>Cost of Debt</t>
        </is>
      </c>
      <c r="B19" s="6" t="n">
        <v>0.09</v>
      </c>
    </row>
    <row r="20">
      <c r="A20" t="inlineStr">
        <is>
          <t>After-Tax Cost of Debt</t>
        </is>
      </c>
      <c r="B20" s="6" t="n">
        <v>0.0675</v>
      </c>
    </row>
    <row r="21">
      <c r="A21" t="inlineStr">
        <is>
          <t>Weight of Equity</t>
        </is>
      </c>
      <c r="B21" s="6" t="n">
        <v>0.7692</v>
      </c>
    </row>
    <row r="22">
      <c r="A22" t="inlineStr">
        <is>
          <t>Weight of Debt</t>
        </is>
      </c>
      <c r="B22" s="6" t="n">
        <v>0.2308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Relaxo Footwears DCF - Financial Projections (INR)</t>
        </is>
      </c>
    </row>
    <row r="3">
      <c r="A3" s="8" t="inlineStr">
        <is>
          <t>Metric</t>
        </is>
      </c>
      <c r="B3" s="8" t="inlineStr">
        <is>
          <t>FY2021A</t>
        </is>
      </c>
      <c r="C3" s="8" t="inlineStr">
        <is>
          <t>FY2022A</t>
        </is>
      </c>
      <c r="D3" s="8" t="inlineStr">
        <is>
          <t>FY2023A</t>
        </is>
      </c>
      <c r="E3" s="8" t="inlineStr">
        <is>
          <t>FY2024A</t>
        </is>
      </c>
      <c r="F3" s="8" t="inlineStr">
        <is>
          <t>FY2025A</t>
        </is>
      </c>
      <c r="G3" s="8" t="inlineStr">
        <is>
          <t>FY2026E</t>
        </is>
      </c>
      <c r="H3" s="8" t="inlineStr">
        <is>
          <t>FY2027E</t>
        </is>
      </c>
      <c r="I3" s="8" t="inlineStr">
        <is>
          <t>FY2028E</t>
        </is>
      </c>
      <c r="J3" s="8" t="inlineStr">
        <is>
          <t>FY2029E</t>
        </is>
      </c>
      <c r="K3" s="8" t="inlineStr">
        <is>
          <t>FY2030E</t>
        </is>
      </c>
      <c r="L3" s="8" t="inlineStr">
        <is>
          <t>FY2031E</t>
        </is>
      </c>
      <c r="M3" s="8" t="inlineStr">
        <is>
          <t>FY2032E</t>
        </is>
      </c>
    </row>
    <row r="4">
      <c r="A4" s="9" t="inlineStr">
        <is>
          <t>Revenue</t>
        </is>
      </c>
      <c r="B4" s="10" t="n">
        <v>201600000000</v>
      </c>
      <c r="C4" s="10" t="n">
        <v>221760000000</v>
      </c>
      <c r="D4" s="10" t="n">
        <v>239500800000</v>
      </c>
      <c r="E4" s="10" t="n">
        <v>253870848000</v>
      </c>
      <c r="F4" s="10" t="n">
        <v>266564390400</v>
      </c>
      <c r="G4" s="11" t="n">
        <v>285844627508.19</v>
      </c>
      <c r="H4" s="11" t="n">
        <v>304586715669.49</v>
      </c>
      <c r="I4" s="11" t="n">
        <v>322498292064.5</v>
      </c>
      <c r="J4" s="11" t="n">
        <v>339282693521.95</v>
      </c>
      <c r="K4" s="11" t="n">
        <v>354646668715.23</v>
      </c>
      <c r="L4" s="11" t="n">
        <v>368308532830.13</v>
      </c>
      <c r="M4" s="11" t="n">
        <v>380006465893.52</v>
      </c>
    </row>
    <row r="5">
      <c r="A5" s="9" t="inlineStr">
        <is>
          <t xml:space="preserve">  Revenue Growth %</t>
        </is>
      </c>
      <c r="B5" s="10" t="n"/>
      <c r="C5" s="10" t="n">
        <v>10</v>
      </c>
      <c r="D5" s="10" t="n">
        <v>8</v>
      </c>
      <c r="E5" s="10" t="n">
        <v>6</v>
      </c>
      <c r="F5" s="10" t="n">
        <v>5</v>
      </c>
      <c r="G5" s="11" t="n">
        <v>7.23</v>
      </c>
      <c r="H5" s="11" t="n">
        <v>6.56</v>
      </c>
      <c r="I5" s="11" t="n">
        <v>5.88</v>
      </c>
      <c r="J5" s="11" t="n">
        <v>5.2</v>
      </c>
      <c r="K5" s="11" t="n">
        <v>4.53</v>
      </c>
      <c r="L5" s="11" t="n">
        <v>3.85</v>
      </c>
      <c r="M5" s="11" t="n">
        <v>3.18</v>
      </c>
    </row>
    <row r="6">
      <c r="A6" s="9" t="inlineStr">
        <is>
          <t>EBITDA</t>
        </is>
      </c>
      <c r="B6" s="10" t="n">
        <v>26208000000</v>
      </c>
      <c r="C6" s="10" t="n">
        <v>29937600000</v>
      </c>
      <c r="D6" s="10" t="n">
        <v>33530112000</v>
      </c>
      <c r="E6" s="10" t="n">
        <v>34272564480</v>
      </c>
      <c r="F6" s="10" t="n">
        <v>34653370752</v>
      </c>
      <c r="G6" s="11" t="n">
        <v>38303180086.1</v>
      </c>
      <c r="H6" s="11" t="n">
        <v>40814619899.71</v>
      </c>
      <c r="I6" s="11" t="n">
        <v>43214771136.64</v>
      </c>
      <c r="J6" s="11" t="n">
        <v>45463880931.94</v>
      </c>
      <c r="K6" s="11" t="n">
        <v>47522653607.84</v>
      </c>
      <c r="L6" s="11" t="n">
        <v>49353343399.24</v>
      </c>
      <c r="M6" s="11" t="n">
        <v>50920866429.73</v>
      </c>
    </row>
    <row r="7">
      <c r="A7" s="9" t="inlineStr">
        <is>
          <t xml:space="preserve">  EBITDA Margin %</t>
        </is>
      </c>
      <c r="B7" s="10" t="n">
        <v>13</v>
      </c>
      <c r="C7" s="10" t="n">
        <v>13.5</v>
      </c>
      <c r="D7" s="10" t="n">
        <v>14</v>
      </c>
      <c r="E7" s="10" t="n">
        <v>13.5</v>
      </c>
      <c r="F7" s="10" t="n">
        <v>13</v>
      </c>
      <c r="G7" s="11" t="n">
        <v>13.4</v>
      </c>
      <c r="H7" s="11" t="n">
        <v>13.4</v>
      </c>
      <c r="I7" s="11" t="n">
        <v>13.4</v>
      </c>
      <c r="J7" s="11" t="n">
        <v>13.4</v>
      </c>
      <c r="K7" s="11" t="n">
        <v>13.4</v>
      </c>
      <c r="L7" s="11" t="n">
        <v>13.4</v>
      </c>
      <c r="M7" s="11" t="n">
        <v>13.4</v>
      </c>
    </row>
    <row r="8">
      <c r="A8" s="9" t="inlineStr">
        <is>
          <t>Less: D&amp;A</t>
        </is>
      </c>
      <c r="G8" s="11" t="n">
        <v>14292231375.41</v>
      </c>
      <c r="H8" s="11" t="n">
        <v>15229335783.47</v>
      </c>
      <c r="I8" s="11" t="n">
        <v>16124914603.22</v>
      </c>
      <c r="J8" s="11" t="n">
        <v>16964134676.1</v>
      </c>
      <c r="K8" s="11" t="n">
        <v>17732333435.76</v>
      </c>
      <c r="L8" s="11" t="n">
        <v>18415426641.51</v>
      </c>
      <c r="M8" s="11" t="n">
        <v>19000323294.68</v>
      </c>
    </row>
    <row r="9">
      <c r="A9" s="9" t="inlineStr">
        <is>
          <t>EBIT</t>
        </is>
      </c>
      <c r="G9" s="11" t="n">
        <v>24010948710.69</v>
      </c>
      <c r="H9" s="11" t="n">
        <v>25585284116.24</v>
      </c>
      <c r="I9" s="11" t="n">
        <v>27089856533.42</v>
      </c>
      <c r="J9" s="11" t="n">
        <v>28499746255.84</v>
      </c>
      <c r="K9" s="11" t="n">
        <v>29790320172.08</v>
      </c>
      <c r="L9" s="11" t="n">
        <v>30937916757.73</v>
      </c>
      <c r="M9" s="11" t="n">
        <v>31920543135.06</v>
      </c>
    </row>
    <row r="10">
      <c r="A10" s="9" t="inlineStr">
        <is>
          <t>Less: Taxes</t>
        </is>
      </c>
      <c r="G10" s="11" t="n">
        <v>6002737177.67</v>
      </c>
      <c r="H10" s="11" t="n">
        <v>6396321029.06</v>
      </c>
      <c r="I10" s="11" t="n">
        <v>6772464133.35</v>
      </c>
      <c r="J10" s="11" t="n">
        <v>7124936563.96</v>
      </c>
      <c r="K10" s="11" t="n">
        <v>7447580043.02</v>
      </c>
      <c r="L10" s="11" t="n">
        <v>7734479189.43</v>
      </c>
      <c r="M10" s="11" t="n">
        <v>7980135783.76</v>
      </c>
    </row>
    <row r="11">
      <c r="A11" s="9" t="inlineStr">
        <is>
          <t>EBIAT</t>
        </is>
      </c>
      <c r="G11" s="11" t="n">
        <v>18008211533.02</v>
      </c>
      <c r="H11" s="11" t="n">
        <v>19188963087.18</v>
      </c>
      <c r="I11" s="11" t="n">
        <v>20317392400.06</v>
      </c>
      <c r="J11" s="11" t="n">
        <v>21374809691.88</v>
      </c>
      <c r="K11" s="11" t="n">
        <v>22342740129.06</v>
      </c>
      <c r="L11" s="11" t="n">
        <v>23203437568.3</v>
      </c>
      <c r="M11" s="11" t="n">
        <v>23940407351.29</v>
      </c>
    </row>
    <row r="12">
      <c r="A12" s="9" t="inlineStr">
        <is>
          <t>Plus: D&amp;A</t>
        </is>
      </c>
      <c r="G12" s="11" t="n">
        <v>14292231375.41</v>
      </c>
      <c r="H12" s="11" t="n">
        <v>15229335783.47</v>
      </c>
      <c r="I12" s="11" t="n">
        <v>16124914603.22</v>
      </c>
      <c r="J12" s="11" t="n">
        <v>16964134676.1</v>
      </c>
      <c r="K12" s="11" t="n">
        <v>17732333435.76</v>
      </c>
      <c r="L12" s="11" t="n">
        <v>18415426641.51</v>
      </c>
      <c r="M12" s="11" t="n">
        <v>19000323294.68</v>
      </c>
    </row>
    <row r="13">
      <c r="A13" s="9" t="inlineStr">
        <is>
          <t>Less: CapEx</t>
        </is>
      </c>
      <c r="G13" s="11" t="n">
        <v>11433785100.33</v>
      </c>
      <c r="H13" s="11" t="n">
        <v>12183468626.78</v>
      </c>
      <c r="I13" s="11" t="n">
        <v>12899931682.58</v>
      </c>
      <c r="J13" s="11" t="n">
        <v>13571307740.88</v>
      </c>
      <c r="K13" s="11" t="n">
        <v>14185866748.61</v>
      </c>
      <c r="L13" s="11" t="n">
        <v>14732341313.21</v>
      </c>
      <c r="M13" s="11" t="n">
        <v>15200258635.74</v>
      </c>
    </row>
    <row r="14">
      <c r="A14" s="9" t="inlineStr">
        <is>
          <t>Less: Change in NWC</t>
        </is>
      </c>
      <c r="G14" s="11" t="n">
        <v>8584679419.91</v>
      </c>
      <c r="H14" s="11" t="n">
        <v>2310668403.45</v>
      </c>
      <c r="I14" s="11" t="n">
        <v>2208276541.85</v>
      </c>
      <c r="J14" s="11" t="n">
        <v>2069309768.73</v>
      </c>
      <c r="K14" s="11" t="n">
        <v>1894188722.46</v>
      </c>
      <c r="L14" s="11" t="n">
        <v>1684339411.43</v>
      </c>
      <c r="M14" s="11" t="n">
        <v>1442210925.62</v>
      </c>
    </row>
    <row r="15">
      <c r="A15" s="12" t="inlineStr">
        <is>
          <t>Unlevered Free Cash Flow</t>
        </is>
      </c>
      <c r="G15" s="13" t="n">
        <v>12281978388.18</v>
      </c>
      <c r="H15" s="13" t="n">
        <v>19924161840.42</v>
      </c>
      <c r="I15" s="13" t="n">
        <v>21334098778.86</v>
      </c>
      <c r="J15" s="13" t="n">
        <v>22698326858.38</v>
      </c>
      <c r="K15" s="13" t="n">
        <v>23995018093.75</v>
      </c>
      <c r="L15" s="13" t="n">
        <v>25202183485.17</v>
      </c>
      <c r="M15" s="13" t="n">
        <v>26298261084.6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Relaxo Footwears DCF - DCF Valuation (INR)</t>
        </is>
      </c>
    </row>
    <row r="3">
      <c r="A3" s="8" t="inlineStr">
        <is>
          <t>Metric</t>
        </is>
      </c>
      <c r="B3" s="8" t="inlineStr">
        <is>
          <t>FY2026E</t>
        </is>
      </c>
      <c r="C3" s="8" t="inlineStr">
        <is>
          <t>FY2027E</t>
        </is>
      </c>
      <c r="D3" s="8" t="inlineStr">
        <is>
          <t>FY2028E</t>
        </is>
      </c>
      <c r="E3" s="8" t="inlineStr">
        <is>
          <t>FY2029E</t>
        </is>
      </c>
      <c r="F3" s="8" t="inlineStr">
        <is>
          <t>FY2030E</t>
        </is>
      </c>
      <c r="G3" s="8" t="inlineStr">
        <is>
          <t>FY2031E</t>
        </is>
      </c>
      <c r="H3" s="8" t="inlineStr">
        <is>
          <t>FY2032E</t>
        </is>
      </c>
    </row>
    <row r="4">
      <c r="A4" s="9" t="inlineStr">
        <is>
          <t>Unlevered Free Cash Flow</t>
        </is>
      </c>
      <c r="B4" s="11" t="n">
        <v>12281978388.18</v>
      </c>
      <c r="C4" s="11" t="n">
        <v>19924161840.42</v>
      </c>
      <c r="D4" s="11" t="n">
        <v>21334098778.86</v>
      </c>
      <c r="E4" s="11" t="n">
        <v>22698326858.38</v>
      </c>
      <c r="F4" s="11" t="n">
        <v>23995018093.75</v>
      </c>
      <c r="G4" s="11" t="n">
        <v>25202183485.17</v>
      </c>
      <c r="H4" s="11" t="n">
        <v>26298261084.6</v>
      </c>
    </row>
    <row r="5">
      <c r="A5" s="9" t="inlineStr">
        <is>
          <t>Discount Factor</t>
        </is>
      </c>
      <c r="B5" s="14" t="n">
        <v>0.8964</v>
      </c>
      <c r="C5" s="14" t="n">
        <v>0.8035</v>
      </c>
      <c r="D5" s="14" t="n">
        <v>0.7202</v>
      </c>
      <c r="E5" s="14" t="n">
        <v>0.6456</v>
      </c>
      <c r="F5" s="14" t="n">
        <v>0.5787</v>
      </c>
      <c r="G5" s="14" t="n">
        <v>0.5187</v>
      </c>
      <c r="H5" s="14" t="n">
        <v>0.465</v>
      </c>
    </row>
    <row r="6">
      <c r="A6" s="9" t="inlineStr">
        <is>
          <t>PV of Free Cash Flow</t>
        </is>
      </c>
      <c r="B6" s="11" t="n">
        <v>11009302965.38</v>
      </c>
      <c r="C6" s="11" t="n">
        <v>16008957422.96</v>
      </c>
      <c r="D6" s="11" t="n">
        <v>15365573869.05</v>
      </c>
      <c r="E6" s="11" t="n">
        <v>14654122687.74</v>
      </c>
      <c r="F6" s="11" t="n">
        <v>13886044535.06</v>
      </c>
      <c r="G6" s="11" t="n">
        <v>13073357444.16</v>
      </c>
      <c r="H6" s="11" t="n">
        <v>12228339663.27</v>
      </c>
    </row>
    <row r="9">
      <c r="A9" s="9" t="inlineStr">
        <is>
          <t>Sum of PV of FCFs</t>
        </is>
      </c>
      <c r="B9" s="15" t="n">
        <v>96225698587.63</v>
      </c>
    </row>
    <row r="10">
      <c r="A10" s="9" t="inlineStr">
        <is>
          <t>PV of Terminal Value</t>
        </is>
      </c>
      <c r="B10" s="15" t="n">
        <v>138348881781.98</v>
      </c>
    </row>
    <row r="11">
      <c r="A11" s="16" t="inlineStr">
        <is>
          <t>Implied Enterprise Value</t>
        </is>
      </c>
      <c r="B11" s="17" t="n">
        <v>234574580369.61</v>
      </c>
    </row>
    <row r="12">
      <c r="A12" s="9" t="inlineStr">
        <is>
          <t>Less: Total Borrowings</t>
        </is>
      </c>
      <c r="B12" s="15" t="n">
        <v>18000000000</v>
      </c>
    </row>
    <row r="13">
      <c r="A13" s="9" t="inlineStr">
        <is>
          <t>Add: Cash &amp; Equivalents</t>
        </is>
      </c>
      <c r="B13" s="15" t="n">
        <v>3000000000</v>
      </c>
    </row>
    <row r="14">
      <c r="A14" s="9" t="inlineStr">
        <is>
          <t>Net Debt</t>
        </is>
      </c>
      <c r="B14" s="15" t="n">
        <v>15000000000</v>
      </c>
    </row>
    <row r="15">
      <c r="A15" s="16" t="inlineStr">
        <is>
          <t>Implied Equity Value</t>
        </is>
      </c>
      <c r="B15" s="17" t="n">
        <v>219574580369.61</v>
      </c>
    </row>
    <row r="16">
      <c r="A16" s="9" t="inlineStr">
        <is>
          <t>Shares Outstanding</t>
        </is>
      </c>
      <c r="B16" s="18" t="n">
        <v>650000000</v>
      </c>
    </row>
    <row r="17">
      <c r="A17" s="16" t="inlineStr">
        <is>
          <t>Implied Share Price</t>
        </is>
      </c>
      <c r="B17" s="17" t="n">
        <v>337.81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Relaxo Footwears DCF - Implied Share Price Sensitivity (INR)</t>
        </is>
      </c>
    </row>
    <row r="3">
      <c r="A3" s="9" t="inlineStr">
        <is>
          <t>Sensitivity: WACC vs. Terminal Growth Rate</t>
        </is>
      </c>
    </row>
    <row r="4">
      <c r="B4" s="15">
        <f>'Valuation'!B17</f>
        <v/>
      </c>
      <c r="C4" s="19" t="n">
        <v>0.015</v>
      </c>
      <c r="D4" s="19" t="n">
        <v>0.02</v>
      </c>
      <c r="E4" s="19" t="n">
        <v>0.025</v>
      </c>
      <c r="F4" s="19" t="n">
        <v>0.03</v>
      </c>
      <c r="G4" s="19" t="n">
        <v>0.035</v>
      </c>
    </row>
    <row r="5">
      <c r="B5" s="19" t="n">
        <v>0.09559999999999999</v>
      </c>
      <c r="C5" s="15" t="n">
        <v>404.951121602826</v>
      </c>
      <c r="D5" s="15" t="n">
        <v>424.1472966503249</v>
      </c>
      <c r="E5" s="15" t="n">
        <v>446.0624766620585</v>
      </c>
      <c r="F5" s="15" t="n">
        <v>471.3183853341175</v>
      </c>
      <c r="G5" s="15" t="n">
        <v>500.7419357012357</v>
      </c>
    </row>
    <row r="6">
      <c r="B6" s="19" t="n">
        <v>0.1056</v>
      </c>
      <c r="C6" s="15" t="n">
        <v>354.8352212463071</v>
      </c>
      <c r="D6" s="15" t="n">
        <v>369.1173695304997</v>
      </c>
      <c r="E6" s="15" t="n">
        <v>385.1714965100015</v>
      </c>
      <c r="F6" s="15" t="n">
        <v>403.3491852592787</v>
      </c>
      <c r="G6" s="15" t="n">
        <v>424.1016174574621</v>
      </c>
    </row>
    <row r="7">
      <c r="B7" s="19" t="n">
        <v>0.1156</v>
      </c>
      <c r="C7" s="15" t="n">
        <v>314.77397210795</v>
      </c>
      <c r="D7" s="15" t="n">
        <v>325.6852790717264</v>
      </c>
      <c r="E7" s="15" t="n">
        <v>337.8009245524759</v>
      </c>
      <c r="F7" s="15" t="n">
        <v>351.3319491781727</v>
      </c>
      <c r="G7" s="15" t="n">
        <v>366.5417609782736</v>
      </c>
    </row>
    <row r="8">
      <c r="B8" s="19" t="n">
        <v>0.1256</v>
      </c>
      <c r="C8" s="15" t="n">
        <v>282.0358361500083</v>
      </c>
      <c r="D8" s="15" t="n">
        <v>290.5523161061346</v>
      </c>
      <c r="E8" s="15" t="n">
        <v>299.9153646463689</v>
      </c>
      <c r="F8" s="15" t="n">
        <v>310.257811569473</v>
      </c>
      <c r="G8" s="15" t="n">
        <v>321.7418089255907</v>
      </c>
    </row>
    <row r="9">
      <c r="B9" s="19" t="n">
        <v>0.1356</v>
      </c>
      <c r="C9" s="15" t="n">
        <v>254.7955060344269</v>
      </c>
      <c r="D9" s="15" t="n">
        <v>261.5614163277417</v>
      </c>
      <c r="E9" s="15" t="n">
        <v>268.9390725788608</v>
      </c>
      <c r="F9" s="15" t="n">
        <v>277.0153705204268</v>
      </c>
      <c r="G9" s="15" t="n">
        <v>285.8944813786493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2026-03-05T19:04:19Z</dcterms:created>
  <dcterms:modified xmlns:dcterms="http://purl.org/dc/terms/" xmlns:xsi="http://www.w3.org/2001/XMLSchema-instance" xsi:type="dcterms:W3CDTF">2026-03-05T19:04:19Z</dcterms:modified>
</cp:coreProperties>
</file>