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color rgb="00FFFFFF"/>
    </font>
    <font>
      <name val="Arial"/>
      <b val="1"/>
    </font>
    <font>
      <name val="Arial"/>
      <color rgb="00008000"/>
    </font>
    <font>
      <name val="Arial"/>
      <color rgb="000000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1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4" fontId="6" fillId="0" borderId="0" pivotButton="0" quotePrefix="0" xfId="0"/>
    <xf numFmtId="0" fontId="4" fillId="0" borderId="1" pivotButton="0" quotePrefix="0" xfId="0"/>
    <xf numFmtId="4" fontId="6" fillId="0" borderId="1" pivotButton="0" quotePrefix="0" xfId="0"/>
    <xf numFmtId="164" fontId="6" fillId="0" borderId="0" pivotButton="0" quotePrefix="0" xfId="0"/>
    <xf numFmtId="165" fontId="6" fillId="0" borderId="0" pivotButton="0" quotePrefix="0" xfId="0"/>
    <xf numFmtId="0" fontId="4" fillId="0" borderId="2" pivotButton="0" quotePrefix="0" xfId="0"/>
    <xf numFmtId="165" fontId="6" fillId="0" borderId="2" pivotButton="0" quotePrefix="0" xfId="0"/>
    <xf numFmtId="3" fontId="6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iu8 - Key Assumptions</t>
        </is>
      </c>
    </row>
    <row r="3">
      <c r="A3" t="inlineStr">
        <is>
          <t>Revenue Cagr</t>
        </is>
      </c>
      <c r="B3" s="2" t="n">
        <v>0</v>
      </c>
    </row>
    <row r="4">
      <c r="A4" t="inlineStr">
        <is>
          <t>Avg Ebitda Margin</t>
        </is>
      </c>
      <c r="B4" s="2" t="n">
        <v>0.12</v>
      </c>
    </row>
    <row r="5">
      <c r="A5" t="inlineStr">
        <is>
          <t>Tax Rate</t>
        </is>
      </c>
      <c r="B5" s="2" t="n">
        <v>0.25</v>
      </c>
    </row>
    <row r="6">
      <c r="A6" t="inlineStr">
        <is>
          <t>Da Percent Rev</t>
        </is>
      </c>
      <c r="B6" s="2" t="n">
        <v>0.06</v>
      </c>
    </row>
    <row r="7">
      <c r="A7" t="inlineStr">
        <is>
          <t>Cap Ex Percent Rev</t>
        </is>
      </c>
      <c r="B7" s="2" t="n">
        <v>0.08</v>
      </c>
    </row>
    <row r="8">
      <c r="A8" t="inlineStr">
        <is>
          <t>Nwc Percent Rev</t>
        </is>
      </c>
      <c r="B8" s="2" t="n">
        <v>0.1</v>
      </c>
    </row>
    <row r="10">
      <c r="A10" t="inlineStr">
        <is>
          <t>WACC</t>
        </is>
      </c>
      <c r="B10" s="3" t="n">
        <v>0.135</v>
      </c>
    </row>
    <row r="11">
      <c r="A11" t="inlineStr">
        <is>
          <t>Terminal Growth Rate</t>
        </is>
      </c>
      <c r="B11" s="3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iu8 - Financial Projections (INR)</t>
        </is>
      </c>
    </row>
    <row r="3">
      <c r="A3" s="4" t="inlineStr">
        <is>
          <t>Metric</t>
        </is>
      </c>
      <c r="B3" s="4" t="inlineStr">
        <is>
          <t>FY2023A</t>
        </is>
      </c>
      <c r="C3" s="4" t="inlineStr">
        <is>
          <t>FY2024A</t>
        </is>
      </c>
      <c r="D3" s="4" t="inlineStr">
        <is>
          <t>FY2025A</t>
        </is>
      </c>
      <c r="E3" s="4" t="inlineStr">
        <is>
          <t>FY2026E</t>
        </is>
      </c>
      <c r="F3" s="4" t="inlineStr">
        <is>
          <t>FY2027E</t>
        </is>
      </c>
      <c r="G3" s="4" t="inlineStr">
        <is>
          <t>FY2028E</t>
        </is>
      </c>
      <c r="H3" s="4" t="inlineStr">
        <is>
          <t>FY2029E</t>
        </is>
      </c>
      <c r="I3" s="4" t="inlineStr">
        <is>
          <t>FY2030E</t>
        </is>
      </c>
    </row>
    <row r="4">
      <c r="A4" s="5" t="inlineStr">
        <is>
          <t>Revenue</t>
        </is>
      </c>
      <c r="B4" s="6" t="n">
        <v>250000000000</v>
      </c>
      <c r="C4" s="6" t="n">
        <v>250000000000</v>
      </c>
      <c r="D4" s="6" t="n">
        <v>250000000000</v>
      </c>
      <c r="E4" s="7" t="n">
        <v>250000000000</v>
      </c>
      <c r="F4" s="7" t="n">
        <v>250000000000</v>
      </c>
      <c r="G4" s="7" t="n">
        <v>250000000000</v>
      </c>
      <c r="H4" s="7" t="n">
        <v>250000000000</v>
      </c>
      <c r="I4" s="7" t="n">
        <v>250000000000</v>
      </c>
    </row>
    <row r="5">
      <c r="A5" s="5" t="inlineStr">
        <is>
          <t xml:space="preserve">  Revenue Growth %</t>
        </is>
      </c>
      <c r="B5" s="6" t="n"/>
      <c r="C5" s="6" t="n">
        <v>0</v>
      </c>
      <c r="D5" s="6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</row>
    <row r="6">
      <c r="A6" s="5" t="inlineStr">
        <is>
          <t>EBITDA</t>
        </is>
      </c>
      <c r="B6" s="6" t="n">
        <v>30000000000</v>
      </c>
      <c r="C6" s="6" t="n">
        <v>30000000000</v>
      </c>
      <c r="D6" s="6" t="n">
        <v>30000000000</v>
      </c>
      <c r="E6" s="7" t="n">
        <v>30000000000</v>
      </c>
      <c r="F6" s="7" t="n">
        <v>30000000000</v>
      </c>
      <c r="G6" s="7" t="n">
        <v>30000000000</v>
      </c>
      <c r="H6" s="7" t="n">
        <v>30000000000</v>
      </c>
      <c r="I6" s="7" t="n">
        <v>30000000000</v>
      </c>
    </row>
    <row r="7">
      <c r="A7" s="5" t="inlineStr">
        <is>
          <t xml:space="preserve">  EBITDA Margin %</t>
        </is>
      </c>
      <c r="B7" s="6" t="n">
        <v>12</v>
      </c>
      <c r="C7" s="6" t="n">
        <v>12</v>
      </c>
      <c r="D7" s="6" t="n">
        <v>12</v>
      </c>
      <c r="E7" s="7" t="n">
        <v>12</v>
      </c>
      <c r="F7" s="7" t="n">
        <v>12</v>
      </c>
      <c r="G7" s="7" t="n">
        <v>12</v>
      </c>
      <c r="H7" s="7" t="n">
        <v>12</v>
      </c>
      <c r="I7" s="7" t="n">
        <v>12</v>
      </c>
    </row>
    <row r="8">
      <c r="A8" s="5" t="inlineStr">
        <is>
          <t>Less: D&amp;A</t>
        </is>
      </c>
      <c r="E8" s="7" t="n">
        <v>15000000000</v>
      </c>
      <c r="F8" s="7" t="n">
        <v>15000000000</v>
      </c>
      <c r="G8" s="7" t="n">
        <v>15000000000</v>
      </c>
      <c r="H8" s="7" t="n">
        <v>15000000000</v>
      </c>
      <c r="I8" s="7" t="n">
        <v>15000000000</v>
      </c>
    </row>
    <row r="9">
      <c r="A9" s="5" t="inlineStr">
        <is>
          <t>EBIT</t>
        </is>
      </c>
      <c r="E9" s="7" t="n">
        <v>15000000000</v>
      </c>
      <c r="F9" s="7" t="n">
        <v>15000000000</v>
      </c>
      <c r="G9" s="7" t="n">
        <v>15000000000</v>
      </c>
      <c r="H9" s="7" t="n">
        <v>15000000000</v>
      </c>
      <c r="I9" s="7" t="n">
        <v>15000000000</v>
      </c>
    </row>
    <row r="10">
      <c r="A10" s="5" t="inlineStr">
        <is>
          <t>Less: Taxes</t>
        </is>
      </c>
      <c r="E10" s="7" t="n">
        <v>3750000000</v>
      </c>
      <c r="F10" s="7" t="n">
        <v>3750000000</v>
      </c>
      <c r="G10" s="7" t="n">
        <v>3750000000</v>
      </c>
      <c r="H10" s="7" t="n">
        <v>3750000000</v>
      </c>
      <c r="I10" s="7" t="n">
        <v>3750000000</v>
      </c>
    </row>
    <row r="11">
      <c r="A11" s="5" t="inlineStr">
        <is>
          <t>EBIAT</t>
        </is>
      </c>
      <c r="E11" s="7" t="n">
        <v>11250000000</v>
      </c>
      <c r="F11" s="7" t="n">
        <v>11250000000</v>
      </c>
      <c r="G11" s="7" t="n">
        <v>11250000000</v>
      </c>
      <c r="H11" s="7" t="n">
        <v>11250000000</v>
      </c>
      <c r="I11" s="7" t="n">
        <v>11250000000</v>
      </c>
    </row>
    <row r="12">
      <c r="A12" s="5" t="inlineStr">
        <is>
          <t>Plus: D&amp;A</t>
        </is>
      </c>
      <c r="E12" s="7" t="n">
        <v>15000000000</v>
      </c>
      <c r="F12" s="7" t="n">
        <v>15000000000</v>
      </c>
      <c r="G12" s="7" t="n">
        <v>15000000000</v>
      </c>
      <c r="H12" s="7" t="n">
        <v>15000000000</v>
      </c>
      <c r="I12" s="7" t="n">
        <v>15000000000</v>
      </c>
    </row>
    <row r="13">
      <c r="A13" s="5" t="inlineStr">
        <is>
          <t>Less: CapEx</t>
        </is>
      </c>
      <c r="E13" s="7" t="n">
        <v>20000000000</v>
      </c>
      <c r="F13" s="7" t="n">
        <v>20000000000</v>
      </c>
      <c r="G13" s="7" t="n">
        <v>20000000000</v>
      </c>
      <c r="H13" s="7" t="n">
        <v>20000000000</v>
      </c>
      <c r="I13" s="7" t="n">
        <v>20000000000</v>
      </c>
    </row>
    <row r="14">
      <c r="A14" s="5" t="inlineStr">
        <is>
          <t>Less: Change in NWC</t>
        </is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</row>
    <row r="15">
      <c r="A15" s="8" t="inlineStr">
        <is>
          <t>Unlevered Free Cash Flow</t>
        </is>
      </c>
      <c r="E15" s="9" t="n">
        <v>6250000000</v>
      </c>
      <c r="F15" s="9" t="n">
        <v>6250000000</v>
      </c>
      <c r="G15" s="9" t="n">
        <v>6250000000</v>
      </c>
      <c r="H15" s="9" t="n">
        <v>6250000000</v>
      </c>
      <c r="I15" s="9" t="n">
        <v>6250000000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iu8 - DCF Valuation (INR)</t>
        </is>
      </c>
    </row>
    <row r="3">
      <c r="A3" s="4" t="inlineStr">
        <is>
          <t>Metric</t>
        </is>
      </c>
      <c r="B3" s="4" t="inlineStr">
        <is>
          <t>FY2026E</t>
        </is>
      </c>
      <c r="C3" s="4" t="inlineStr">
        <is>
          <t>FY2027E</t>
        </is>
      </c>
      <c r="D3" s="4" t="inlineStr">
        <is>
          <t>FY2028E</t>
        </is>
      </c>
      <c r="E3" s="4" t="inlineStr">
        <is>
          <t>FY2029E</t>
        </is>
      </c>
      <c r="F3" s="4" t="inlineStr">
        <is>
          <t>FY2030E</t>
        </is>
      </c>
    </row>
    <row r="4">
      <c r="A4" s="5" t="inlineStr">
        <is>
          <t>Unlevered Free Cash Flow</t>
        </is>
      </c>
      <c r="B4" s="7" t="n">
        <v>6250000000</v>
      </c>
      <c r="C4" s="7" t="n">
        <v>6250000000</v>
      </c>
      <c r="D4" s="7" t="n">
        <v>6250000000</v>
      </c>
      <c r="E4" s="7" t="n">
        <v>6250000000</v>
      </c>
      <c r="F4" s="7" t="n">
        <v>6250000000</v>
      </c>
    </row>
    <row r="5">
      <c r="A5" s="5" t="inlineStr">
        <is>
          <t>Discount Factor</t>
        </is>
      </c>
      <c r="B5" s="10" t="n">
        <v>0.8811</v>
      </c>
      <c r="C5" s="10" t="n">
        <v>0.7763</v>
      </c>
      <c r="D5" s="10" t="n">
        <v>0.6839</v>
      </c>
      <c r="E5" s="10" t="n">
        <v>0.6026</v>
      </c>
      <c r="F5" s="10" t="n">
        <v>0.5309</v>
      </c>
    </row>
    <row r="6">
      <c r="A6" s="5" t="inlineStr">
        <is>
          <t>PV of Free Cash Flow</t>
        </is>
      </c>
      <c r="B6" s="7" t="n">
        <v>5506607929.52</v>
      </c>
      <c r="C6" s="7" t="n">
        <v>4851636942.3</v>
      </c>
      <c r="D6" s="7" t="n">
        <v>4274569993.22</v>
      </c>
      <c r="E6" s="7" t="n">
        <v>3766140963.19</v>
      </c>
      <c r="F6" s="7" t="n">
        <v>3318185870.65</v>
      </c>
    </row>
    <row r="9">
      <c r="A9" s="5" t="inlineStr">
        <is>
          <t>Sum of PV of FCFs</t>
        </is>
      </c>
      <c r="B9" s="11" t="n">
        <v>21717141698.88</v>
      </c>
    </row>
    <row r="10">
      <c r="A10" s="5" t="inlineStr">
        <is>
          <t>PV of Terminal Value</t>
        </is>
      </c>
      <c r="B10" s="11" t="n">
        <v>30918892045.45</v>
      </c>
    </row>
    <row r="11">
      <c r="A11" s="12" t="inlineStr">
        <is>
          <t>Implied Enterprise Value</t>
        </is>
      </c>
      <c r="B11" s="13" t="n">
        <v>52636033744.33</v>
      </c>
    </row>
    <row r="12">
      <c r="A12" s="5" t="inlineStr">
        <is>
          <t>Less: Total Borrowings</t>
        </is>
      </c>
      <c r="B12" s="11" t="n">
        <v>0</v>
      </c>
    </row>
    <row r="13">
      <c r="A13" s="5" t="inlineStr">
        <is>
          <t>Add: Cash &amp; Equivalents</t>
        </is>
      </c>
      <c r="B13" s="11" t="n">
        <v>0</v>
      </c>
    </row>
    <row r="14">
      <c r="A14" s="5" t="inlineStr">
        <is>
          <t>Net Debt</t>
        </is>
      </c>
      <c r="B14" s="11" t="n">
        <v>0</v>
      </c>
    </row>
    <row r="15">
      <c r="A15" s="12" t="inlineStr">
        <is>
          <t>Implied Equity Value</t>
        </is>
      </c>
      <c r="B15" s="13" t="n">
        <v>52636033744.33</v>
      </c>
    </row>
    <row r="16">
      <c r="A16" s="5" t="inlineStr">
        <is>
          <t>Shares Outstanding</t>
        </is>
      </c>
      <c r="B16" s="14" t="n">
        <v>100000000</v>
      </c>
    </row>
    <row r="17">
      <c r="A17" s="12" t="inlineStr">
        <is>
          <t>Implied Share Price</t>
        </is>
      </c>
      <c r="B17" s="13" t="n">
        <v>526.36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iu8 - Implied Share Price Sensitivity (INR)</t>
        </is>
      </c>
    </row>
    <row r="3">
      <c r="A3" s="5" t="inlineStr">
        <is>
          <t>Sensitivity: WACC vs. Terminal Growth Rate</t>
        </is>
      </c>
    </row>
    <row r="4">
      <c r="B4" s="11">
        <f>'Valuation'!B17</f>
        <v/>
      </c>
      <c r="C4" s="15" t="n">
        <v>0.015</v>
      </c>
      <c r="D4" s="15" t="n">
        <v>0.02</v>
      </c>
      <c r="E4" s="15" t="n">
        <v>0.025</v>
      </c>
      <c r="F4" s="15" t="n">
        <v>0.03</v>
      </c>
      <c r="G4" s="15" t="n">
        <v>0.035</v>
      </c>
    </row>
    <row r="5">
      <c r="B5" s="15" t="n">
        <v>0.115</v>
      </c>
      <c r="C5" s="11" t="n">
        <v>596.2223706307891</v>
      </c>
      <c r="D5" s="11" t="n">
        <v>617.5050815870725</v>
      </c>
      <c r="E5" s="11" t="n">
        <v>641.152538205165</v>
      </c>
      <c r="F5" s="11" t="n">
        <v>667.5820485430332</v>
      </c>
      <c r="G5" s="11" t="n">
        <v>697.3152476731351</v>
      </c>
    </row>
    <row r="6">
      <c r="B6" s="15" t="n">
        <v>0.125</v>
      </c>
      <c r="C6" s="11" t="n">
        <v>542.565573429771</v>
      </c>
      <c r="D6" s="11" t="n">
        <v>559.4566739971403</v>
      </c>
      <c r="E6" s="11" t="n">
        <v>578.0368846212466</v>
      </c>
      <c r="F6" s="11" t="n">
        <v>598.5729068899959</v>
      </c>
      <c r="G6" s="11" t="n">
        <v>621.3907094108282</v>
      </c>
    </row>
    <row r="7">
      <c r="B7" s="15" t="n">
        <v>0.135</v>
      </c>
      <c r="C7" s="11" t="n">
        <v>497.8346385480475</v>
      </c>
      <c r="D7" s="11" t="n">
        <v>511.4800768204719</v>
      </c>
      <c r="E7" s="11" t="n">
        <v>526.3660094812985</v>
      </c>
      <c r="F7" s="11" t="n">
        <v>542.6696500145849</v>
      </c>
      <c r="G7" s="11" t="n">
        <v>560.6036546011999</v>
      </c>
    </row>
    <row r="8">
      <c r="B8" s="15" t="n">
        <v>0.145</v>
      </c>
      <c r="C8" s="11" t="n">
        <v>459.9704480723619</v>
      </c>
      <c r="D8" s="11" t="n">
        <v>471.1590213270085</v>
      </c>
      <c r="E8" s="11" t="n">
        <v>483.279975686209</v>
      </c>
      <c r="F8" s="11" t="n">
        <v>496.4549260766444</v>
      </c>
      <c r="G8" s="11" t="n">
        <v>510.8275992298467</v>
      </c>
    </row>
    <row r="9">
      <c r="B9" s="15" t="n">
        <v>0.155</v>
      </c>
      <c r="C9" s="11" t="n">
        <v>427.5021684927274</v>
      </c>
      <c r="D9" s="11" t="n">
        <v>436.7931218664874</v>
      </c>
      <c r="E9" s="11" t="n">
        <v>446.7987639613057</v>
      </c>
      <c r="F9" s="11" t="n">
        <v>457.6048574237095</v>
      </c>
      <c r="G9" s="11" t="n">
        <v>469.3114586746469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2026-03-04T14:47:05Z</dcterms:created>
  <dcterms:modified xsi:type="dcterms:W3CDTF">2026-03-04T14:47:05Z</dcterms:modified>
</cp:coreProperties>
</file>