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$#,##0.0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color rgb="00FFFFFF"/>
    </font>
    <font>
      <name val="Arial"/>
      <b val="1"/>
    </font>
    <font>
      <name val="Arial"/>
      <color rgb="000000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1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boAt V2 - Key Assumptions</t>
        </is>
      </c>
    </row>
    <row r="3">
      <c r="A3" t="inlineStr">
        <is>
          <t>Revenue Cagr</t>
        </is>
      </c>
      <c r="B3" s="2" t="n">
        <v>0.06900000000000001</v>
      </c>
    </row>
    <row r="4">
      <c r="A4" t="inlineStr">
        <is>
          <t>Avg Ebitda Margin</t>
        </is>
      </c>
      <c r="B4" s="2" t="n">
        <v>0.0477</v>
      </c>
    </row>
    <row r="5">
      <c r="A5" t="inlineStr">
        <is>
          <t>Tax Rate</t>
        </is>
      </c>
      <c r="B5" s="2" t="n">
        <v>0.21</v>
      </c>
    </row>
    <row r="6">
      <c r="A6" t="inlineStr">
        <is>
          <t>Da Percent Rev</t>
        </is>
      </c>
      <c r="B6" s="2" t="n">
        <v>0.03</v>
      </c>
    </row>
    <row r="7">
      <c r="A7" t="inlineStr">
        <is>
          <t>Cap Ex Percent Rev</t>
        </is>
      </c>
      <c r="B7" s="2" t="n">
        <v>0.03</v>
      </c>
    </row>
    <row r="8">
      <c r="A8" t="inlineStr">
        <is>
          <t>Nwc Percent Rev</t>
        </is>
      </c>
      <c r="B8" s="2" t="n">
        <v>0.07000000000000001</v>
      </c>
    </row>
    <row r="10">
      <c r="A10" t="inlineStr">
        <is>
          <t>WACC</t>
        </is>
      </c>
      <c r="B10" s="3" t="n">
        <v>0.135</v>
      </c>
    </row>
    <row r="11">
      <c r="A11" t="inlineStr">
        <is>
          <t>Terminal Growth Rate</t>
        </is>
      </c>
      <c r="B11" s="3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boAt V2 - Financial Projections</t>
        </is>
      </c>
    </row>
    <row r="3">
      <c r="A3" s="4" t="inlineStr">
        <is>
          <t>Metric</t>
        </is>
      </c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  <c r="E3" s="4" t="inlineStr">
        <is>
          <t>Year 4</t>
        </is>
      </c>
      <c r="F3" s="4" t="inlineStr">
        <is>
          <t>Year 5</t>
        </is>
      </c>
    </row>
    <row r="4">
      <c r="A4" s="5" t="inlineStr">
        <is>
          <t>Revenue</t>
        </is>
      </c>
      <c r="B4" s="6" t="n">
        <v>34209438964.79</v>
      </c>
      <c r="C4" s="6" t="n">
        <v>36571428571.43</v>
      </c>
      <c r="D4" s="6" t="n">
        <v>39096501674.05</v>
      </c>
      <c r="E4" s="6" t="n">
        <v>41795918367.35</v>
      </c>
      <c r="F4" s="6" t="n">
        <v>44681716198.91</v>
      </c>
    </row>
    <row r="5">
      <c r="A5" s="5" t="inlineStr">
        <is>
          <t>EBITDA</t>
        </is>
      </c>
      <c r="B5" s="6" t="n">
        <v>1630649923.99</v>
      </c>
      <c r="C5" s="6" t="n">
        <v>1743238095.24</v>
      </c>
      <c r="D5" s="6" t="n">
        <v>1863599913.13</v>
      </c>
      <c r="E5" s="6" t="n">
        <v>1992272108.84</v>
      </c>
      <c r="F5" s="6" t="n">
        <v>2129828472.15</v>
      </c>
    </row>
    <row r="6">
      <c r="A6" s="5" t="inlineStr">
        <is>
          <t>Less: D&amp;A</t>
        </is>
      </c>
      <c r="B6" s="6" t="n">
        <v>1026283168.94</v>
      </c>
      <c r="C6" s="6" t="n">
        <v>1097142857.14</v>
      </c>
      <c r="D6" s="6" t="n">
        <v>1172895050.22</v>
      </c>
      <c r="E6" s="6" t="n">
        <v>1253877551.02</v>
      </c>
      <c r="F6" s="6" t="n">
        <v>1340451485.97</v>
      </c>
    </row>
    <row r="7">
      <c r="A7" s="5" t="inlineStr">
        <is>
          <t>EBIT</t>
        </is>
      </c>
      <c r="B7" s="6" t="n">
        <v>604366755.04</v>
      </c>
      <c r="C7" s="6" t="n">
        <v>646095238.1</v>
      </c>
      <c r="D7" s="6" t="n">
        <v>690704862.91</v>
      </c>
      <c r="E7" s="6" t="n">
        <v>738394557.8200001</v>
      </c>
      <c r="F7" s="6" t="n">
        <v>789376986.1799999</v>
      </c>
    </row>
    <row r="8">
      <c r="A8" s="5" t="inlineStr">
        <is>
          <t>Less: Taxes</t>
        </is>
      </c>
      <c r="B8" s="6" t="n">
        <v>126917018.56</v>
      </c>
      <c r="C8" s="6" t="n">
        <v>135680000</v>
      </c>
      <c r="D8" s="6" t="n">
        <v>145048021.21</v>
      </c>
      <c r="E8" s="6" t="n">
        <v>155062857.14</v>
      </c>
      <c r="F8" s="6" t="n">
        <v>165769167.1</v>
      </c>
    </row>
    <row r="9">
      <c r="A9" s="5" t="inlineStr">
        <is>
          <t>EBIAT</t>
        </is>
      </c>
      <c r="B9" s="6" t="n">
        <v>477449736.49</v>
      </c>
      <c r="C9" s="6" t="n">
        <v>510415238.1</v>
      </c>
      <c r="D9" s="6" t="n">
        <v>545656841.7</v>
      </c>
      <c r="E9" s="6" t="n">
        <v>583331700.6799999</v>
      </c>
      <c r="F9" s="6" t="n">
        <v>623607819.08</v>
      </c>
    </row>
    <row r="10">
      <c r="A10" s="5" t="inlineStr">
        <is>
          <t>Plus: D&amp;A</t>
        </is>
      </c>
      <c r="B10" s="6" t="n">
        <v>1026283168.94</v>
      </c>
      <c r="C10" s="6" t="n">
        <v>1097142857.14</v>
      </c>
      <c r="D10" s="6" t="n">
        <v>1172895050.22</v>
      </c>
      <c r="E10" s="6" t="n">
        <v>1253877551.02</v>
      </c>
      <c r="F10" s="6" t="n">
        <v>1340451485.97</v>
      </c>
    </row>
    <row r="11">
      <c r="A11" s="5" t="inlineStr">
        <is>
          <t>Less: CapEx</t>
        </is>
      </c>
      <c r="B11" s="6" t="n">
        <v>1026283168.94</v>
      </c>
      <c r="C11" s="6" t="n">
        <v>1097142857.14</v>
      </c>
      <c r="D11" s="6" t="n">
        <v>1172895050.22</v>
      </c>
      <c r="E11" s="6" t="n">
        <v>1253877551.02</v>
      </c>
      <c r="F11" s="6" t="n">
        <v>1340451485.97</v>
      </c>
    </row>
    <row r="12">
      <c r="A12" s="5" t="inlineStr">
        <is>
          <t>Less: Change in NWC</t>
        </is>
      </c>
      <c r="B12" s="6" t="n">
        <v>2394660727.54</v>
      </c>
      <c r="C12" s="6" t="n">
        <v>165339272.46</v>
      </c>
      <c r="D12" s="6" t="n">
        <v>176755117.18</v>
      </c>
      <c r="E12" s="6" t="n">
        <v>188959168.53</v>
      </c>
      <c r="F12" s="6" t="n">
        <v>202005848.21</v>
      </c>
    </row>
    <row r="13">
      <c r="A13" s="5" t="inlineStr">
        <is>
          <t>Unlevered Free Cash Flow</t>
        </is>
      </c>
      <c r="B13" s="6" t="n">
        <v>-1917210991.05</v>
      </c>
      <c r="C13" s="6" t="n">
        <v>345075965.63</v>
      </c>
      <c r="D13" s="6" t="n">
        <v>368901724.51</v>
      </c>
      <c r="E13" s="6" t="n">
        <v>394372532.15</v>
      </c>
      <c r="F13" s="6" t="n">
        <v>421601970.87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boAt V2 - DCF Valuation</t>
        </is>
      </c>
    </row>
    <row r="3">
      <c r="A3" s="4" t="inlineStr">
        <is>
          <t>Metric</t>
        </is>
      </c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  <c r="E3" s="4" t="inlineStr">
        <is>
          <t>Year 4</t>
        </is>
      </c>
      <c r="F3" s="4" t="inlineStr">
        <is>
          <t>Year 5</t>
        </is>
      </c>
    </row>
    <row r="4">
      <c r="A4" s="5" t="inlineStr">
        <is>
          <t>Unlevered Free Cash Flow</t>
        </is>
      </c>
      <c r="B4" s="6" t="n">
        <v>-1917210991.05</v>
      </c>
      <c r="C4" s="6" t="n">
        <v>345075965.63</v>
      </c>
      <c r="D4" s="6" t="n">
        <v>368901724.51</v>
      </c>
      <c r="E4" s="6" t="n">
        <v>394372532.15</v>
      </c>
      <c r="F4" s="6" t="n">
        <v>421601970.87</v>
      </c>
    </row>
    <row r="5">
      <c r="A5" s="5" t="inlineStr">
        <is>
          <t>Discount Factor</t>
        </is>
      </c>
      <c r="B5" s="7" t="n">
        <v>0.8811</v>
      </c>
      <c r="C5" s="7" t="n">
        <v>0.7763</v>
      </c>
      <c r="D5" s="7" t="n">
        <v>0.6839</v>
      </c>
      <c r="E5" s="7" t="n">
        <v>0.6026</v>
      </c>
      <c r="F5" s="7" t="n">
        <v>0.5309</v>
      </c>
    </row>
    <row r="6">
      <c r="A6" s="5" t="inlineStr">
        <is>
          <t>PV of Free Cash Flow</t>
        </is>
      </c>
      <c r="B6" s="6" t="n">
        <v>-1689172679.34</v>
      </c>
      <c r="C6" s="6" t="n">
        <v>267869328.44</v>
      </c>
      <c r="D6" s="6" t="n">
        <v>252303398.73</v>
      </c>
      <c r="E6" s="6" t="n">
        <v>237642007.69</v>
      </c>
      <c r="F6" s="6" t="n">
        <v>223832592.44</v>
      </c>
    </row>
    <row r="9">
      <c r="A9" s="5" t="inlineStr">
        <is>
          <t>Sum of PV of FCFs</t>
        </is>
      </c>
      <c r="B9" s="8" t="n">
        <v>-707525352.03</v>
      </c>
    </row>
    <row r="10">
      <c r="A10" s="5" t="inlineStr">
        <is>
          <t>PV of Terminal Value</t>
        </is>
      </c>
      <c r="B10" s="8" t="n">
        <v>2085674531.76</v>
      </c>
    </row>
    <row r="11">
      <c r="A11" s="5" t="inlineStr">
        <is>
          <t>Implied Enterprise Value</t>
        </is>
      </c>
      <c r="B11" s="8" t="n">
        <v>1378149179.72</v>
      </c>
    </row>
    <row r="12">
      <c r="A12" s="5" t="inlineStr">
        <is>
          <t>Less: Net Debt</t>
        </is>
      </c>
      <c r="B12" s="6" t="n">
        <v>5000000000</v>
      </c>
    </row>
    <row r="13">
      <c r="A13" s="5" t="inlineStr">
        <is>
          <t>Implied Equity Value</t>
        </is>
      </c>
      <c r="B13" s="8" t="n">
        <v>-3621850820.28</v>
      </c>
    </row>
    <row r="14">
      <c r="A14" s="5" t="inlineStr">
        <is>
          <t>Shares Outstanding</t>
        </is>
      </c>
      <c r="B14" s="6" t="n">
        <v>12000000</v>
      </c>
    </row>
    <row r="15">
      <c r="A15" s="5" t="inlineStr">
        <is>
          <t>Implied Share Price</t>
        </is>
      </c>
      <c r="B15" s="8" t="n">
        <v>-301.82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boAt V2 - Implied Share Price Sensitivity</t>
        </is>
      </c>
    </row>
    <row r="3">
      <c r="A3" s="5" t="inlineStr">
        <is>
          <t>Sensitivity: WACC vs. Terminal Growth Rate</t>
        </is>
      </c>
    </row>
    <row r="4">
      <c r="B4" s="8">
        <f>'Valuation'!B15</f>
        <v/>
      </c>
      <c r="C4" s="9" t="n">
        <v>0.015</v>
      </c>
      <c r="D4" s="9" t="n">
        <v>0.02</v>
      </c>
      <c r="E4" s="9" t="n">
        <v>0.025</v>
      </c>
      <c r="F4" s="9" t="n">
        <v>0.03</v>
      </c>
      <c r="G4" s="9" t="n">
        <v>0.035</v>
      </c>
    </row>
    <row r="5">
      <c r="B5" s="9" t="n">
        <v>0.115</v>
      </c>
      <c r="C5" s="8" t="n">
        <v>-266.0736077229423</v>
      </c>
      <c r="D5" s="8" t="n">
        <v>-254.1098305434415</v>
      </c>
      <c r="E5" s="8" t="n">
        <v>-240.8167447884406</v>
      </c>
      <c r="F5" s="8" t="n">
        <v>-225.9597665916749</v>
      </c>
      <c r="G5" s="8" t="n">
        <v>-209.2456661203135</v>
      </c>
    </row>
    <row r="6">
      <c r="B6" s="9" t="n">
        <v>0.125</v>
      </c>
      <c r="C6" s="8" t="n">
        <v>-294.4562231192691</v>
      </c>
      <c r="D6" s="8" t="n">
        <v>-284.9611280667806</v>
      </c>
      <c r="E6" s="8" t="n">
        <v>-274.5165235090434</v>
      </c>
      <c r="F6" s="8" t="n">
        <v>-262.9724868925969</v>
      </c>
      <c r="G6" s="8" t="n">
        <v>-250.1457795409897</v>
      </c>
    </row>
    <row r="7">
      <c r="B7" s="9" t="n">
        <v>0.135</v>
      </c>
      <c r="C7" s="8" t="n">
        <v>-317.8562228560555</v>
      </c>
      <c r="D7" s="8" t="n">
        <v>-310.1856312973367</v>
      </c>
      <c r="E7" s="8" t="n">
        <v>-301.81771323328</v>
      </c>
      <c r="F7" s="8" t="n">
        <v>-292.6528505916939</v>
      </c>
      <c r="G7" s="8" t="n">
        <v>-282.5715016859493</v>
      </c>
    </row>
    <row r="8">
      <c r="B8" s="9" t="n">
        <v>0.145</v>
      </c>
      <c r="C8" s="8" t="n">
        <v>-337.4300682846904</v>
      </c>
      <c r="D8" s="8" t="n">
        <v>-331.1405689041806</v>
      </c>
      <c r="E8" s="8" t="n">
        <v>-324.3269445752949</v>
      </c>
      <c r="F8" s="8" t="n">
        <v>-316.9208311743321</v>
      </c>
      <c r="G8" s="8" t="n">
        <v>-308.8414347369183</v>
      </c>
    </row>
    <row r="9">
      <c r="B9" s="9" t="n">
        <v>0.155</v>
      </c>
      <c r="C9" s="8" t="n">
        <v>-354.0035668111659</v>
      </c>
      <c r="D9" s="8" t="n">
        <v>-348.7807878063146</v>
      </c>
      <c r="E9" s="8" t="n">
        <v>-343.156256570321</v>
      </c>
      <c r="F9" s="8" t="n">
        <v>-337.0817628354478</v>
      </c>
      <c r="G9" s="8" t="n">
        <v>-330.5010612893353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2026-03-02T18:17:20Z</dcterms:created>
  <dcterms:modified xmlns:dcterms="http://purl.org/dc/terms/" xmlns:xsi="http://www.w3.org/2001/XMLSchema-instance" xsi:type="dcterms:W3CDTF">2026-03-02T18:17:20Z</dcterms:modified>
</cp:coreProperties>
</file>