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Relaxo Check - Key Assumptions</t>
        </is>
      </c>
    </row>
    <row r="3">
      <c r="A3" t="inlineStr">
        <is>
          <t>Revenue Cagr</t>
        </is>
      </c>
      <c r="B3" s="2" t="n">
        <v>0.07000000000000001</v>
      </c>
    </row>
    <row r="4">
      <c r="A4" t="inlineStr">
        <is>
          <t>Revenue Cagr Override</t>
        </is>
      </c>
      <c r="B4" s="2" t="n">
        <v>0.07000000000000001</v>
      </c>
    </row>
    <row r="5">
      <c r="A5" t="inlineStr">
        <is>
          <t>Avg Ebitda Margin</t>
        </is>
      </c>
      <c r="B5" s="2" t="n">
        <v>0.14</v>
      </c>
    </row>
    <row r="6">
      <c r="A6" t="inlineStr">
        <is>
          <t>Tax Rate</t>
        </is>
      </c>
      <c r="B6" s="2" t="n">
        <v>0.25</v>
      </c>
    </row>
    <row r="7">
      <c r="A7" t="inlineStr">
        <is>
          <t>Da Percent Rev</t>
        </is>
      </c>
      <c r="B7" s="2" t="n">
        <v>0.0568</v>
      </c>
    </row>
    <row r="8">
      <c r="A8" t="inlineStr">
        <is>
          <t>Cap Ex Percent Rev</t>
        </is>
      </c>
      <c r="B8" s="2" t="n">
        <v>0.028</v>
      </c>
    </row>
    <row r="9">
      <c r="A9" t="inlineStr">
        <is>
          <t>Nwc Percent Rev</t>
        </is>
      </c>
      <c r="B9" s="2" t="n">
        <v>0.1</v>
      </c>
    </row>
    <row r="10">
      <c r="A10" t="inlineStr">
        <is>
          <t>Scenario</t>
        </is>
      </c>
      <c r="B10" s="3" t="inlineStr">
        <is>
          <t>Base Case</t>
        </is>
      </c>
    </row>
    <row r="12">
      <c r="A12" t="inlineStr">
        <is>
          <t>WACC</t>
        </is>
      </c>
      <c r="B12" s="4" t="n">
        <v>0.115</v>
      </c>
    </row>
    <row r="13">
      <c r="A13" t="inlineStr">
        <is>
          <t>Terminal Growth Rate</t>
        </is>
      </c>
      <c r="B13" s="4" t="n">
        <v>0.025</v>
      </c>
    </row>
    <row r="15">
      <c r="A15" s="5" t="inlineStr">
        <is>
          <t>WACC Calculation Breakdown</t>
        </is>
      </c>
    </row>
    <row r="16">
      <c r="A16" t="inlineStr">
        <is>
          <t>Risk-Free Rate (10Y G-Sec)</t>
        </is>
      </c>
      <c r="B16" s="6" t="n">
        <v>0.07000000000000001</v>
      </c>
    </row>
    <row r="17">
      <c r="A17" t="inlineStr">
        <is>
          <t>Equity Risk Premium</t>
        </is>
      </c>
      <c r="B17" s="6" t="n">
        <v>0.05</v>
      </c>
    </row>
    <row r="18">
      <c r="A18" t="inlineStr">
        <is>
          <t>Beta</t>
        </is>
      </c>
      <c r="B18" s="7" t="n">
        <v>0.9</v>
      </c>
    </row>
    <row r="19">
      <c r="A19" t="inlineStr">
        <is>
          <t>Cost of Equity (CAPM)</t>
        </is>
      </c>
      <c r="B19" s="6" t="n">
        <v>0.115</v>
      </c>
    </row>
    <row r="20">
      <c r="A20" t="inlineStr">
        <is>
          <t>Cost of Debt</t>
        </is>
      </c>
      <c r="B20" s="6" t="n">
        <v>0.09</v>
      </c>
    </row>
    <row r="21">
      <c r="A21" t="inlineStr">
        <is>
          <t>After-Tax Cost of Debt</t>
        </is>
      </c>
      <c r="B21" s="6" t="n">
        <v>0.0675</v>
      </c>
    </row>
    <row r="22">
      <c r="A22" t="inlineStr">
        <is>
          <t>Weight of Equity</t>
        </is>
      </c>
      <c r="B22" s="6" t="n">
        <v>1</v>
      </c>
    </row>
    <row r="23">
      <c r="A23" t="inlineStr">
        <is>
          <t>Weight of Debt</t>
        </is>
      </c>
      <c r="B23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Relaxo Check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25880000000</v>
      </c>
      <c r="C4" s="10" t="n">
        <v>29100000000</v>
      </c>
      <c r="D4" s="10" t="n">
        <v>29600000000</v>
      </c>
      <c r="E4" s="10" t="n">
        <v>29140600000</v>
      </c>
      <c r="F4" s="10" t="n">
        <v>27896100000</v>
      </c>
      <c r="G4" s="11" t="n">
        <v>29848827000</v>
      </c>
      <c r="H4" s="11" t="n">
        <v>31746359573.57</v>
      </c>
      <c r="I4" s="11" t="n">
        <v>33560437263.49</v>
      </c>
      <c r="J4" s="11" t="n">
        <v>35262430867.57</v>
      </c>
      <c r="K4" s="11" t="n">
        <v>36824052805.99</v>
      </c>
      <c r="L4" s="11" t="n">
        <v>38218106233.64</v>
      </c>
      <c r="M4" s="11" t="n">
        <v>39419246715.27</v>
      </c>
    </row>
    <row r="5">
      <c r="A5" s="9" t="inlineStr">
        <is>
          <t xml:space="preserve">  Revenue Growth %</t>
        </is>
      </c>
      <c r="B5" s="10" t="n"/>
      <c r="C5" s="10" t="n">
        <v>12.44</v>
      </c>
      <c r="D5" s="10" t="n">
        <v>1.72</v>
      </c>
      <c r="E5" s="10" t="n">
        <v>-1.55</v>
      </c>
      <c r="F5" s="10" t="n">
        <v>-4.27</v>
      </c>
      <c r="G5" s="11" t="n">
        <v>7</v>
      </c>
      <c r="H5" s="11" t="n">
        <v>6.36</v>
      </c>
      <c r="I5" s="11" t="n">
        <v>5.71</v>
      </c>
      <c r="J5" s="11" t="n">
        <v>5.07</v>
      </c>
      <c r="K5" s="11" t="n">
        <v>4.43</v>
      </c>
      <c r="L5" s="11" t="n">
        <v>3.79</v>
      </c>
      <c r="M5" s="11" t="n">
        <v>3.14</v>
      </c>
    </row>
    <row r="6">
      <c r="A6" s="9" t="inlineStr">
        <is>
          <t>EBITDA</t>
        </is>
      </c>
      <c r="B6" s="10" t="n">
        <v>4140800000</v>
      </c>
      <c r="C6" s="10" t="n">
        <v>4074000000</v>
      </c>
      <c r="D6" s="10" t="n">
        <v>3848000000</v>
      </c>
      <c r="E6" s="10" t="n">
        <v>3875699800</v>
      </c>
      <c r="F6" s="10" t="n">
        <v>3818976090</v>
      </c>
      <c r="G6" s="11" t="n">
        <v>4178238803.46</v>
      </c>
      <c r="H6" s="11" t="n">
        <v>4443855413.11</v>
      </c>
      <c r="I6" s="11" t="n">
        <v>4697790008.14</v>
      </c>
      <c r="J6" s="11" t="n">
        <v>4936035072.84</v>
      </c>
      <c r="K6" s="11" t="n">
        <v>5154630911.78</v>
      </c>
      <c r="L6" s="11" t="n">
        <v>5349770510.59</v>
      </c>
      <c r="M6" s="11" t="n">
        <v>5517906155.2</v>
      </c>
    </row>
    <row r="7">
      <c r="A7" s="9" t="inlineStr">
        <is>
          <t xml:space="preserve">  EBITDA Margin %</t>
        </is>
      </c>
      <c r="B7" s="10" t="n">
        <v>16</v>
      </c>
      <c r="C7" s="10" t="n">
        <v>14</v>
      </c>
      <c r="D7" s="10" t="n">
        <v>13</v>
      </c>
      <c r="E7" s="10" t="n">
        <v>13.3</v>
      </c>
      <c r="F7" s="10" t="n">
        <v>13.69</v>
      </c>
      <c r="G7" s="11" t="n">
        <v>14</v>
      </c>
      <c r="H7" s="11" t="n">
        <v>14</v>
      </c>
      <c r="I7" s="11" t="n">
        <v>14</v>
      </c>
      <c r="J7" s="11" t="n">
        <v>14</v>
      </c>
      <c r="K7" s="11" t="n">
        <v>14</v>
      </c>
      <c r="L7" s="11" t="n">
        <v>14</v>
      </c>
      <c r="M7" s="11" t="n">
        <v>14</v>
      </c>
    </row>
    <row r="8">
      <c r="A8" s="9" t="inlineStr">
        <is>
          <t>Less: D&amp;A</t>
        </is>
      </c>
      <c r="G8" s="11" t="n">
        <v>1695413373.6</v>
      </c>
      <c r="H8" s="11" t="n">
        <v>1803193223.78</v>
      </c>
      <c r="I8" s="11" t="n">
        <v>1906232836.57</v>
      </c>
      <c r="J8" s="11" t="n">
        <v>2002906073.28</v>
      </c>
      <c r="K8" s="11" t="n">
        <v>2091606199.38</v>
      </c>
      <c r="L8" s="11" t="n">
        <v>2170788434.07</v>
      </c>
      <c r="M8" s="11" t="n">
        <v>2239013213.43</v>
      </c>
    </row>
    <row r="9">
      <c r="A9" s="9" t="inlineStr">
        <is>
          <t>EBIT</t>
        </is>
      </c>
      <c r="G9" s="11" t="n">
        <v>2482825429.86</v>
      </c>
      <c r="H9" s="11" t="n">
        <v>2640662189.33</v>
      </c>
      <c r="I9" s="11" t="n">
        <v>2791557171.58</v>
      </c>
      <c r="J9" s="11" t="n">
        <v>2933128999.56</v>
      </c>
      <c r="K9" s="11" t="n">
        <v>3063024712.4</v>
      </c>
      <c r="L9" s="11" t="n">
        <v>3178982076.51</v>
      </c>
      <c r="M9" s="11" t="n">
        <v>3278892941.78</v>
      </c>
    </row>
    <row r="10">
      <c r="A10" s="9" t="inlineStr">
        <is>
          <t>Less: Taxes</t>
        </is>
      </c>
      <c r="G10" s="11" t="n">
        <v>620706357.47</v>
      </c>
      <c r="H10" s="11" t="n">
        <v>660165547.33</v>
      </c>
      <c r="I10" s="11" t="n">
        <v>697889292.89</v>
      </c>
      <c r="J10" s="11" t="n">
        <v>733282249.89</v>
      </c>
      <c r="K10" s="11" t="n">
        <v>765756178.1</v>
      </c>
      <c r="L10" s="11" t="n">
        <v>794745519.13</v>
      </c>
      <c r="M10" s="11" t="n">
        <v>819723235.4400001</v>
      </c>
    </row>
    <row r="11">
      <c r="A11" s="9" t="inlineStr">
        <is>
          <t>EBIAT</t>
        </is>
      </c>
      <c r="G11" s="11" t="n">
        <v>1862119072.4</v>
      </c>
      <c r="H11" s="11" t="n">
        <v>1980496642</v>
      </c>
      <c r="I11" s="11" t="n">
        <v>2093667878.68</v>
      </c>
      <c r="J11" s="11" t="n">
        <v>2199846749.67</v>
      </c>
      <c r="K11" s="11" t="n">
        <v>2297268534.3</v>
      </c>
      <c r="L11" s="11" t="n">
        <v>2384236557.39</v>
      </c>
      <c r="M11" s="11" t="n">
        <v>2459169706.33</v>
      </c>
    </row>
    <row r="12">
      <c r="A12" s="9" t="inlineStr">
        <is>
          <t>Plus: D&amp;A</t>
        </is>
      </c>
      <c r="G12" s="11" t="n">
        <v>1695413373.6</v>
      </c>
      <c r="H12" s="11" t="n">
        <v>1803193223.78</v>
      </c>
      <c r="I12" s="11" t="n">
        <v>1906232836.57</v>
      </c>
      <c r="J12" s="11" t="n">
        <v>2002906073.28</v>
      </c>
      <c r="K12" s="11" t="n">
        <v>2091606199.38</v>
      </c>
      <c r="L12" s="11" t="n">
        <v>2170788434.07</v>
      </c>
      <c r="M12" s="11" t="n">
        <v>2239013213.43</v>
      </c>
    </row>
    <row r="13">
      <c r="A13" s="9" t="inlineStr">
        <is>
          <t>Less: CapEx</t>
        </is>
      </c>
      <c r="G13" s="11" t="n">
        <v>835767156</v>
      </c>
      <c r="H13" s="11" t="n">
        <v>888898068.0599999</v>
      </c>
      <c r="I13" s="11" t="n">
        <v>939692243.38</v>
      </c>
      <c r="J13" s="11" t="n">
        <v>987348064.29</v>
      </c>
      <c r="K13" s="11" t="n">
        <v>1031073478.57</v>
      </c>
      <c r="L13" s="11" t="n">
        <v>1070106974.54</v>
      </c>
      <c r="M13" s="11" t="n">
        <v>1103738908.03</v>
      </c>
    </row>
    <row r="14">
      <c r="A14" s="9" t="inlineStr">
        <is>
          <t>Less: Change in NWC</t>
        </is>
      </c>
      <c r="G14" s="11" t="n">
        <v>890382369.86</v>
      </c>
      <c r="H14" s="11" t="n">
        <v>233942372.08</v>
      </c>
      <c r="I14" s="11" t="n">
        <v>223653413.83</v>
      </c>
      <c r="J14" s="11" t="n">
        <v>209834827.9</v>
      </c>
      <c r="K14" s="11" t="n">
        <v>192528732.13</v>
      </c>
      <c r="L14" s="11" t="n">
        <v>171869600.67</v>
      </c>
      <c r="M14" s="11" t="n">
        <v>148085812.8</v>
      </c>
    </row>
    <row r="15">
      <c r="A15" s="12" t="inlineStr">
        <is>
          <t>Unlevered Free Cash Flow</t>
        </is>
      </c>
      <c r="G15" s="13" t="n">
        <v>1831382920.13</v>
      </c>
      <c r="H15" s="13" t="n">
        <v>2660849425.63</v>
      </c>
      <c r="I15" s="13" t="n">
        <v>2836555058.05</v>
      </c>
      <c r="J15" s="13" t="n">
        <v>3005569930.76</v>
      </c>
      <c r="K15" s="13" t="n">
        <v>3165272522.98</v>
      </c>
      <c r="L15" s="13" t="n">
        <v>3313048416.24</v>
      </c>
      <c r="M15" s="13" t="n">
        <v>3446358198.93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Relaxo Check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1831382920.13</v>
      </c>
      <c r="C4" s="11" t="n">
        <v>2660849425.63</v>
      </c>
      <c r="D4" s="11" t="n">
        <v>2836555058.05</v>
      </c>
      <c r="E4" s="11" t="n">
        <v>3005569930.76</v>
      </c>
      <c r="F4" s="11" t="n">
        <v>3165272522.98</v>
      </c>
      <c r="G4" s="11" t="n">
        <v>3313048416.24</v>
      </c>
      <c r="H4" s="11" t="n">
        <v>3446358198.93</v>
      </c>
    </row>
    <row r="5">
      <c r="A5" s="9" t="inlineStr">
        <is>
          <t>Discount Factor</t>
        </is>
      </c>
      <c r="B5" s="14" t="n">
        <v>0.8969</v>
      </c>
      <c r="C5" s="14" t="n">
        <v>0.8044</v>
      </c>
      <c r="D5" s="14" t="n">
        <v>0.7214</v>
      </c>
      <c r="E5" s="14" t="n">
        <v>0.647</v>
      </c>
      <c r="F5" s="14" t="n">
        <v>0.5803</v>
      </c>
      <c r="G5" s="14" t="n">
        <v>0.5204</v>
      </c>
      <c r="H5" s="14" t="n">
        <v>0.4667</v>
      </c>
    </row>
    <row r="6">
      <c r="A6" s="9" t="inlineStr">
        <is>
          <t>PV of Free Cash Flow</t>
        </is>
      </c>
      <c r="B6" s="11" t="n">
        <v>1642495892.49</v>
      </c>
      <c r="C6" s="11" t="n">
        <v>2140279857.33</v>
      </c>
      <c r="D6" s="11" t="n">
        <v>2046287331.54</v>
      </c>
      <c r="E6" s="11" t="n">
        <v>1944586953.3</v>
      </c>
      <c r="F6" s="11" t="n">
        <v>1836693845.93</v>
      </c>
      <c r="G6" s="11" t="n">
        <v>1724164021.43</v>
      </c>
      <c r="H6" s="11" t="n">
        <v>1608556583.07</v>
      </c>
    </row>
    <row r="9">
      <c r="A9" s="9" t="inlineStr">
        <is>
          <t>Sum of PV of FCFs</t>
        </is>
      </c>
      <c r="B9" s="15" t="n">
        <v>12943064485.09</v>
      </c>
    </row>
    <row r="10">
      <c r="A10" s="9" t="inlineStr">
        <is>
          <t>PV of Terminal Value</t>
        </is>
      </c>
      <c r="B10" s="15" t="n">
        <v>18318063952.52</v>
      </c>
    </row>
    <row r="11">
      <c r="A11" s="16" t="inlineStr">
        <is>
          <t>Implied Enterprise Value</t>
        </is>
      </c>
      <c r="B11" s="17" t="n">
        <v>31261128437.61</v>
      </c>
    </row>
    <row r="12">
      <c r="A12" s="9" t="inlineStr">
        <is>
          <t>Less: Total Borrowings</t>
        </is>
      </c>
      <c r="B12" s="15" t="n">
        <v>0</v>
      </c>
    </row>
    <row r="13">
      <c r="A13" s="9" t="inlineStr">
        <is>
          <t>Add: Cash &amp; Equivalents</t>
        </is>
      </c>
      <c r="B13" s="15" t="n">
        <v>0</v>
      </c>
    </row>
    <row r="14">
      <c r="A14" s="9" t="inlineStr">
        <is>
          <t>Net Debt</t>
        </is>
      </c>
      <c r="B14" s="15" t="n">
        <v>0</v>
      </c>
    </row>
    <row r="15">
      <c r="A15" s="16" t="inlineStr">
        <is>
          <t>Implied Equity Value</t>
        </is>
      </c>
      <c r="B15" s="17" t="n">
        <v>31261128437.61</v>
      </c>
    </row>
    <row r="16">
      <c r="A16" s="9" t="inlineStr">
        <is>
          <t>Shares Outstanding</t>
        </is>
      </c>
      <c r="B16" s="18" t="n">
        <v>248938586</v>
      </c>
    </row>
    <row r="17">
      <c r="A17" s="16" t="inlineStr">
        <is>
          <t>Implied Share Price</t>
        </is>
      </c>
      <c r="B17" s="17" t="n">
        <v>125.58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Relaxo Check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0.095</v>
      </c>
      <c r="C5" s="15" t="n">
        <v>148.8981152032923</v>
      </c>
      <c r="D5" s="15" t="n">
        <v>155.590828708757</v>
      </c>
      <c r="E5" s="15" t="n">
        <v>163.2396441435739</v>
      </c>
      <c r="F5" s="15" t="n">
        <v>172.0652004145165</v>
      </c>
      <c r="G5" s="15" t="n">
        <v>182.3616827306162</v>
      </c>
    </row>
    <row r="6">
      <c r="B6" s="19" t="n">
        <v>0.105</v>
      </c>
      <c r="C6" s="15" t="n">
        <v>131.4829185763673</v>
      </c>
      <c r="D6" s="15" t="n">
        <v>136.4534531245154</v>
      </c>
      <c r="E6" s="15" t="n">
        <v>142.0453044911821</v>
      </c>
      <c r="F6" s="15" t="n">
        <v>148.3827360400709</v>
      </c>
      <c r="G6" s="15" t="n">
        <v>155.6255149530868</v>
      </c>
    </row>
    <row r="7">
      <c r="B7" s="19" t="n">
        <v>0.115</v>
      </c>
      <c r="C7" s="15" t="n">
        <v>117.5788545822425</v>
      </c>
      <c r="D7" s="15" t="n">
        <v>121.3708289274367</v>
      </c>
      <c r="E7" s="15" t="n">
        <v>125.5841337554304</v>
      </c>
      <c r="F7" s="15" t="n">
        <v>130.2931215043645</v>
      </c>
      <c r="G7" s="15" t="n">
        <v>135.5907327219153</v>
      </c>
    </row>
    <row r="8">
      <c r="B8" s="19" t="n">
        <v>0.125</v>
      </c>
      <c r="C8" s="15" t="n">
        <v>106.227029430096</v>
      </c>
      <c r="D8" s="15" t="n">
        <v>109.1832789061801</v>
      </c>
      <c r="E8" s="15" t="n">
        <v>112.4351533298726</v>
      </c>
      <c r="F8" s="15" t="n">
        <v>116.02933032448</v>
      </c>
      <c r="G8" s="15" t="n">
        <v>120.0228603184883</v>
      </c>
    </row>
    <row r="9">
      <c r="B9" s="19" t="n">
        <v>0.135</v>
      </c>
      <c r="C9" s="15" t="n">
        <v>96.78825754038824</v>
      </c>
      <c r="D9" s="15" t="n">
        <v>99.13455972217645</v>
      </c>
      <c r="E9" s="15" t="n">
        <v>101.694162102309</v>
      </c>
      <c r="F9" s="15" t="n">
        <v>104.4975361376923</v>
      </c>
      <c r="G9" s="15" t="n">
        <v>107.5812475766139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2026-03-05T19:33:01Z</dcterms:created>
  <dcterms:modified xmlns:dcterms="http://purl.org/dc/terms/" xmlns:xsi="http://www.w3.org/2001/XMLSchema-instance" xsi:type="dcterms:W3CDTF">2026-03-05T19:33:01Z</dcterms:modified>
</cp:coreProperties>
</file>